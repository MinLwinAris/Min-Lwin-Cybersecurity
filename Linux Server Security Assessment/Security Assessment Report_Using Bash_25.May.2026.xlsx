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gentingplantationsberhad-my.sharepoint.com/personal/aris_lwin_gentingplantations_com/Documents/Desktop/"/>
    </mc:Choice>
  </mc:AlternateContent>
  <xr:revisionPtr revIDLastSave="79" documentId="8_{5C992B12-1160-489F-8585-64C11A7D1271}" xr6:coauthVersionLast="47" xr6:coauthVersionMax="47" xr10:uidLastSave="{1091B400-4ABD-4EBE-B642-48185518BFAA}"/>
  <bookViews>
    <workbookView xWindow="-110" yWindow="-110" windowWidth="19420" windowHeight="10300" xr2:uid="{00000000-000D-0000-FFFF-FFFF00000000}"/>
  </bookViews>
  <sheets>
    <sheet name="Dashboard" sheetId="1" r:id="rId1"/>
    <sheet name="KeyIssues (Summary)" sheetId="2" r:id="rId2"/>
    <sheet name="User &amp; Authentication" sheetId="3" r:id="rId3"/>
    <sheet name="SSH Configuration" sheetId="4" r:id="rId4"/>
    <sheet name=" Firewall &amp; Network" sheetId="5" r:id="rId5"/>
    <sheet name="System Updates &amp; Patches" sheetId="6" r:id="rId6"/>
    <sheet name="File System &amp; Permissions" sheetId="7" r:id="rId7"/>
    <sheet name="Logging &amp; Auditing" sheetId="8" r:id="rId8"/>
    <sheet name="Services &amp; Daemons" sheetId="9" r:id="rId9"/>
    <sheet name="Kernel Hardening" sheetId="10" r:id="rId10"/>
    <sheet name="Malware &amp; IDS" sheetId="11" r:id="rId11"/>
    <sheet name="Backup &amp; Recovery" sheetId="12" r:id="rId12"/>
    <sheet name="Legend" sheetId="13" r:id="rId13"/>
  </sheets>
  <definedNames>
    <definedName name="_xlnm._FilterDatabase" localSheetId="4" hidden="1">' Firewall &amp; Network'!$B$2:$H$16</definedName>
    <definedName name="_xlnm._FilterDatabase" localSheetId="11" hidden="1">'Backup &amp; Recovery'!$B$2:$H$9</definedName>
    <definedName name="_xlnm._FilterDatabase" localSheetId="6" hidden="1">'File System &amp; Permissions'!$B$2:$H$14</definedName>
    <definedName name="_xlnm._FilterDatabase" localSheetId="9" hidden="1">'Kernel Hardening'!$B$2:$H$11</definedName>
    <definedName name="_xlnm._FilterDatabase" localSheetId="7" hidden="1">'Logging &amp; Auditing'!$B$2:$H$12</definedName>
    <definedName name="_xlnm._FilterDatabase" localSheetId="10" hidden="1">'Malware &amp; IDS'!$B$2:$H$10</definedName>
    <definedName name="_xlnm._FilterDatabase" localSheetId="8" hidden="1">'Services &amp; Daemons'!$B$2:$H$12</definedName>
    <definedName name="_xlnm._FilterDatabase" localSheetId="3" hidden="1">'SSH Configuration'!$B$2:$H$14</definedName>
    <definedName name="_xlnm._FilterDatabase" localSheetId="5" hidden="1">'System Updates &amp; Patches'!$B$2:$H$10</definedName>
    <definedName name="_xlnm._FilterDatabase" localSheetId="2" hidden="1">'User &amp; Authentication'!$B$2:$H$20</definedName>
    <definedName name="_xlnm.Print_Area" localSheetId="0">Dashboard!$A$1:$V$28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G11" i="1"/>
  <c r="G10" i="1"/>
  <c r="G9" i="1"/>
  <c r="G8" i="1"/>
  <c r="B5" i="1" l="1"/>
  <c r="E5" i="1"/>
  <c r="H5" i="1"/>
  <c r="L5" i="1"/>
  <c r="C24" i="1"/>
  <c r="C23" i="1"/>
  <c r="C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Aris Min Lwin</author>
  </authors>
  <commentList>
    <comment ref="B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Aris Min Lwin:
 check userlist and naming also
</t>
        </r>
      </text>
    </comment>
  </commentList>
</comments>
</file>

<file path=xl/sharedStrings.xml><?xml version="1.0" encoding="utf-8"?>
<sst xmlns="http://schemas.openxmlformats.org/spreadsheetml/2006/main" count="872" uniqueCount="479">
  <si>
    <t>UNIX SERVER SECURITY CHECKLIST - wb-test</t>
  </si>
  <si>
    <t>GENP Security Hardening Checklist (Private IP: 172.28.60.201)</t>
  </si>
  <si>
    <t>Security Domain</t>
  </si>
  <si>
    <t>Total Checks</t>
  </si>
  <si>
    <t>Completed</t>
  </si>
  <si>
    <t>In Progress (Partial)</t>
  </si>
  <si>
    <t>Not Done</t>
  </si>
  <si>
    <t>1. User and Authentication</t>
  </si>
  <si>
    <t>2. SSH Configuration</t>
  </si>
  <si>
    <t>3. Firewall and Network</t>
  </si>
  <si>
    <t>4. System Updates &amp; Patches</t>
  </si>
  <si>
    <t>5. File System and Permissions</t>
  </si>
  <si>
    <t>6. Logging and Auditing</t>
  </si>
  <si>
    <t>7. Services and Daemons</t>
  </si>
  <si>
    <t>8. Kernel Hardening</t>
  </si>
  <si>
    <t>9. Malware and Intrusion Detection</t>
  </si>
  <si>
    <t>10. Backup and Recovery</t>
  </si>
  <si>
    <t>TOTAL</t>
  </si>
  <si>
    <t>KEY SECURITY ISSUES:  FINDINGS SUMMARY</t>
  </si>
  <si>
    <t>Server: wb-test│  Private: 172.28.60.201 │  Assessment Date: 2026-05-21</t>
  </si>
  <si>
    <t>No</t>
  </si>
  <si>
    <t>Priority</t>
  </si>
  <si>
    <t>Domain</t>
  </si>
  <si>
    <t>Issue</t>
  </si>
  <si>
    <t>Findings</t>
  </si>
  <si>
    <t>Recommendation</t>
  </si>
  <si>
    <t>Critical</t>
  </si>
  <si>
    <t>User &amp; Auth</t>
  </si>
  <si>
    <t>Account lockout not enforced</t>
  </si>
  <si>
    <t>pam_faillock is absent from /etc/pam.d/common-auth. No lockout occurs after repeated failed login attempts.</t>
  </si>
  <si>
    <t>Add pam_faillock to PAM stack. Set deny=5, unlock_time=900, fail_interval=900 in /etc/security/faillock.conf.</t>
  </si>
  <si>
    <t>Root account not locked</t>
  </si>
  <si>
    <t>Root has an active password hash (status: Secure in shadow). Root can authenticate locally.</t>
  </si>
  <si>
    <t>Run 'passwd -l root' to lock the root account. Set PermitRootLogin no in sshd_config.</t>
  </si>
  <si>
    <t>Password policy critically weak</t>
  </si>
  <si>
    <t>PASS_MAX_DAYS=99999 (no expiry), PASS_MIN_DAYS=0, no minlen set, no complexity requirements in pwquality.conf.</t>
  </si>
  <si>
    <t>Set PASS_MAX_DAYS=90, PASS_MIN_DAYS=7, PASS_MIN_LEN=12. Configure ucredit=-1, lcredit=-1, dcredit=-1, ocredit=-1 in pwquality.conf.</t>
  </si>
  <si>
    <t>SSH Configuration</t>
  </si>
  <si>
    <t>SSH password authentication enabled</t>
  </si>
  <si>
    <t>PasswordAuthentication yes is explicitly set in sshd_config, allowing brute-force password attacks via SSH.</t>
  </si>
  <si>
    <t>Set PasswordAuthentication no in /etc/ssh/sshd_config. Enforce key-based authentication only. Restart sshd.</t>
  </si>
  <si>
    <t>High</t>
  </si>
  <si>
    <t>X11Forwarding enabled in SSH</t>
  </si>
  <si>
    <t>X11Forwarding yes is explicitly set in sshd_config, exposing display forwarding attack surface.</t>
  </si>
  <si>
    <t>Set X11Forwarding no in /etc/ssh/sshd_config and restart sshd.</t>
  </si>
  <si>
    <t>SSH missing multiple hardening settings</t>
  </si>
  <si>
    <t>No AllowUsers/AllowGroups, MaxAuthTries=6 (default), ClientAliveInterval=0 (no timeout), AllowTcpForwarding=yes (default).</t>
  </si>
  <si>
    <t>Add: AllowUsers eddy; MaxAuthTries 4; ClientAliveInterval 300; ClientAliveCountMax 3; AllowTcpForwarding no.</t>
  </si>
  <si>
    <t>Firewall &amp; Network</t>
  </si>
  <si>
    <t>SNMP port 161 open to all interfaces</t>
  </si>
  <si>
    <t>snmpd is listening on 0.0.0.0:161 (UDP) and UFW allows port 161 from Anywhere. SNMP v1/v2c uses cleartext community strings.</t>
  </si>
  <si>
    <t>Restrict snmpd to localhost or specific management IPs. Update UFW: 'ufw delete allow 161'. Review snmpd.conf community strings.</t>
  </si>
  <si>
    <t>Kernel Hardening</t>
  </si>
  <si>
    <t>sysctl misconfigurations detected</t>
  </si>
  <si>
    <t>send_redirects=1 (non-router sending ICMP redirects), rp_filter=0 (no reverse path filtering), log_martians=0 (no martian logging).</t>
  </si>
  <si>
    <t>Add to /etc/sysctl.conf: net.ipv4.conf.all.send_redirects=0; net.ipv4.conf.all.rp_filter=1; net.ipv4.conf.all.log_martians=1. Apply: sysctl -p.</t>
  </si>
  <si>
    <t>Logging &amp; Auditing</t>
  </si>
  <si>
    <t>auditd not deployed</t>
  </si>
  <si>
    <t>No auditd installation, rules, or logs found. Privileged command execution, file access, and user actions are not audited.</t>
  </si>
  <si>
    <t>Install auditd: 'apt install auditd'. Configure rules for privileged commands, /etc/passwd changes, and sudo usage. Enable at boot.</t>
  </si>
  <si>
    <t>No centralised log forwarding</t>
  </si>
  <si>
    <t>All logs are stored locally only. Local log storage can be tampered with by a compromised root account.</t>
  </si>
  <si>
    <t>Configure rsyslog to forward to a remote syslog server: add '@@&lt;syslog-server&gt;:514' to /etc/rsyslog.conf.</t>
  </si>
  <si>
    <t>Malware &amp; IDS</t>
  </si>
  <si>
    <t>No antivirus, rootkit detection, or HIDS deployed</t>
  </si>
  <si>
    <t>ClamAV, chkrootkit/rkhunter, and Wazuh/OSSEC are all absent. No automated malware or intrusion detection is active.</t>
  </si>
  <si>
    <t>Install: apt install clamav clamav-daemon rkhunter chkrootkit. Deploy Wazuh agent for real-time HIDS.</t>
  </si>
  <si>
    <t>File System</t>
  </si>
  <si>
    <t>No filesystem integrity monitoring</t>
  </si>
  <si>
    <t>No AIDE or Tripwire installation found. File tampering (binaries, configs) would go undetected.</t>
  </si>
  <si>
    <t>Install AIDE: 'apt install aide &amp;&amp; aideinit'. Schedule daily checks via cron. Baseline after patching.</t>
  </si>
  <si>
    <t>Backup &amp; Recovery</t>
  </si>
  <si>
    <t>No backup or DR configuration evidence</t>
  </si>
  <si>
    <t>No backup jobs, restoration tests, offsite storage, encryption, or DR runbook found in assessment logs.</t>
  </si>
  <si>
    <t>Implement and document a backup strategy: daily encrypted backups, offsite copy, tested restoration, 90-day retention.</t>
  </si>
  <si>
    <t>Medium</t>
  </si>
  <si>
    <t>/tmp not secured with mount options</t>
  </si>
  <si>
    <t>/tmp has no separate mount with noexec, nosuid, nodev. Attackers can drop and execute payloads in /tmp.</t>
  </si>
  <si>
    <t>Add to /etc/fstab: 'tmpfs /tmp tmpfs defaults,noexec,nosuid,nodev,size=1G 0 0'. Remount: 'mount -o remount /tmp'.</t>
  </si>
  <si>
    <t>Services &amp; Daemons</t>
  </si>
  <si>
    <t>FTP package installed</t>
  </si>
  <si>
    <t>FTP package is installed (riskyServices.txt) though service is inactive. Unnecessary packages increase attack surface.</t>
  </si>
  <si>
    <t>Remove FTP package: 'apt remove ftp --purge &amp;&amp; apt autoremove'.</t>
  </si>
  <si>
    <t>Low</t>
  </si>
  <si>
    <t>UFW logging at low level</t>
  </si>
  <si>
    <t>UFW logging is set to 'low'. Dropped packet details are minimal, reducing forensic value.</t>
  </si>
  <si>
    <t>Increase logging level: 'ufw logging medium' for better visibility of blocked traffic.</t>
  </si>
  <si>
    <t>USER &amp; AUTHENTICATION</t>
  </si>
  <si>
    <t>#</t>
  </si>
  <si>
    <t>Category</t>
  </si>
  <si>
    <t>Check Item</t>
  </si>
  <si>
    <t>Command / Verification</t>
  </si>
  <si>
    <t>Status</t>
  </si>
  <si>
    <t>Findings / Notes</t>
  </si>
  <si>
    <t>Account Policy</t>
  </si>
  <si>
    <t>Disable root login</t>
  </si>
  <si>
    <t>passwd -l root  &amp;&amp;  grep '^root' /etc/passwd</t>
  </si>
  <si>
    <t>Root account is NOT locked. Passwordinformation.txt shows root status as 'Secure' (active password hash). passwd -l root has not been applied. Root can still authenticate locally.</t>
  </si>
  <si>
    <t>Ensure root account has no password login</t>
  </si>
  <si>
    <t>awk -F: '($2==""){print $1}' /etc/shadow</t>
  </si>
  <si>
    <t>Root account has an active password set (status: Secure). The shadow entry confirms a valid password hash exists for root. Restrict to key-only via 'passwd -l root' and enforce 'PermitRootLogin no' in sshd_config.</t>
  </si>
  <si>
    <t>Set password minimum length ≥ 12</t>
  </si>
  <si>
    <t>grep PASS_MIN_LEN /etc/login.defs</t>
  </si>
  <si>
    <t>PASS_MIN_LEN is not set in /etc/login.defs. In pwquality.conf, minlen is commented out — defaulting to 8 characters, below the required minimum of 12.</t>
  </si>
  <si>
    <t>Set password max age ≤ 90 days</t>
  </si>
  <si>
    <t>grep PASS_MAX_DAYS /etc/login.defs</t>
  </si>
  <si>
    <t>PASS_MAX_DAYS = 99999 in /etc/login.defs — no password expiry enforced. Both eddy and khendra inherit 99999-day max age. Set to ≤90 days.</t>
  </si>
  <si>
    <t>Set password min age ≥ 7 days</t>
  </si>
  <si>
    <t>grep PASS_MIN_DAYS /etc/login.defs</t>
  </si>
  <si>
    <t>PASS_MIN_DAYS = 0 in /etc/login.defs — passwords can be changed immediately after creation. Minimum should be ≥7 days.</t>
  </si>
  <si>
    <t>Enforce password history (≥5)</t>
  </si>
  <si>
    <t>grep remember /etc/pam.d/common-password</t>
  </si>
  <si>
    <t>No 'remember=' parameter in /etc/pam.d/common-password for pam_unix. Password history is not enforced; users can reuse previous passwords immediately.</t>
  </si>
  <si>
    <t>Lock account after 5 failed logins</t>
  </si>
  <si>
    <t>grep pam_faillock /etc/pam.d/common-auth</t>
  </si>
  <si>
    <t>pam_faillock is NOT loaded in /etc/pam.d/common-auth (only pam_unix and pam_sss present). Account lockout after repeated failed logins is not active on this server.</t>
  </si>
  <si>
    <t>Set account unlock time ≥ 900 sec</t>
  </si>
  <si>
    <t>faillock --user &lt;user&gt; or /etc/security/faillock.conf</t>
  </si>
  <si>
    <t>faillock.conf contains all defaults as commented-out (unlock_time=600s &lt; required 900s). More critically, pam_faillock module is absent from the PAM stack entirely — faillock.conf settings have no effect.</t>
  </si>
  <si>
    <t>Sudo</t>
  </si>
  <si>
    <t>Restrict sudo access to authorized users</t>
  </si>
  <si>
    <t>grep -r ALL /etc/sudoers /etc/sudoers.d/</t>
  </si>
  <si>
    <t>Done</t>
  </si>
  <si>
    <t>Only user 'eddy' is in the sudo group (Groupinformation.txt: sudo:x:27:eddy). No NOPASSWD entries found in /etc/sudoers or sudoers.d. %admin group has no members. Sudo access is properly restricted.</t>
  </si>
  <si>
    <t>Enable sudo logging</t>
  </si>
  <si>
    <t>grep Defaults /etc/sudoers | grep log</t>
  </si>
  <si>
    <t>Journal.txt confirms sudo activity is captured by syslog (session opened for root by eddy). However, no 'Defaults logfile=/var/log/sudo.log' directive is set in /etc/sudoers for a dedicated sudo audit log file.</t>
  </si>
  <si>
    <t>Ensure no duplicate UIDs</t>
  </si>
  <si>
    <t>awk -F: '{print $3}' /etc/passwd | sort | uniq -d</t>
  </si>
  <si>
    <t>No duplicate UIDs found in /etc/passwd. All user IDs are unique across system and service accounts.</t>
  </si>
  <si>
    <t>Ensure no duplicate usernames</t>
  </si>
  <si>
    <t>awk -F: '{print $1}' /etc/passwd | sort | uniq -d</t>
  </si>
  <si>
    <t>No duplicate usernames found in /etc/passwd.</t>
  </si>
  <si>
    <t>Check for accounts with UID 0 (only root)</t>
  </si>
  <si>
    <t>awk -F: '($3=="0"){print $1}' /etc/passwd</t>
  </si>
  <si>
    <t>Only root has UID 0. No other account with UID 0 detected in /etc/passwd.</t>
  </si>
  <si>
    <t>Disable unused accounts</t>
  </si>
  <si>
    <t>passwd -l &lt;username&gt;</t>
  </si>
  <si>
    <t>All system/service accounts are locked (status: Locked). Regular user 'khendra' (UID 1001) has 'No password set' and no sudo access — no recent login evidence (Lastlogininformation.txt is empty). Verify if khendra is actively used; if not, lock with 'passwd -l khendra'.</t>
  </si>
  <si>
    <t>Password Quality</t>
  </si>
  <si>
    <t>Enable PAM password quality module</t>
  </si>
  <si>
    <t>grep pam_pwquality /etc/pam.d/common-password</t>
  </si>
  <si>
    <t>pam_pwquality loaded as 'requisite' in /etc/pam.d/common-password (retry=3). Module is active and will prompt up to 3 times.</t>
  </si>
  <si>
    <t>Set password complexity (upper,lower,digit,special)</t>
  </si>
  <si>
    <t>grep -E 'ucredit|lcredit|dcredit|ocredit' /etc/security/pwquality.conf</t>
  </si>
  <si>
    <t>All complexity parameters (ucredit, lcredit, dcredit, ocredit, minclass) are commented out in /etc/security/pwquality.conf. No uppercase, lowercase, digit, or special character requirements are enforced.</t>
  </si>
  <si>
    <t>Set default umask to 027</t>
  </si>
  <si>
    <t>grep umask /etc/login.defs /etc/profile</t>
  </si>
  <si>
    <t>No UMASK directive found in /etc/login.defs. Default umask (022) is likely in effect. Recommend adding UMASK 027 to /etc/login.defs and /etc/profile.</t>
  </si>
  <si>
    <t>Set shell timeout (TMOUT ≤ 900 sec)</t>
  </si>
  <si>
    <t>grep TMOUT /etc/profile /etc/bashrc</t>
  </si>
  <si>
    <t>No TMOUT variable configured in /etc/login.defs or available profile configurations. No idle shell session timeout is enforced. Recommend TMOUT=900.</t>
  </si>
  <si>
    <t>SSH CONFIGURATION</t>
  </si>
  <si>
    <t>SSH Daemon</t>
  </si>
  <si>
    <t>Disable SSH root login</t>
  </si>
  <si>
    <t>grep PermitRootLogin /etc/ssh/sshd_config</t>
  </si>
  <si>
    <t>#PermitRootLogin prohibit-password is commented out in sshd_config. The default 'prohibit-password' applies (root SSH login via public key is still permitted). Recommend explicitly setting 'PermitRootLogin no'.</t>
  </si>
  <si>
    <t>Disable password authentication (use keys)</t>
  </si>
  <si>
    <t>grep PasswordAuthentication /etc/ssh/sshd_config</t>
  </si>
  <si>
    <t>PasswordAuthentication is explicitly set to 'yes' at the bottom of /etc/ssh/sshd_config — overriding any earlier commented default. Password-based SSH login is fully enabled. Disable and enforce key-based auth only.</t>
  </si>
  <si>
    <t>Use SSH protocol 2 only</t>
  </si>
  <si>
    <t>grep Protocol /etc/ssh/sshd_config</t>
  </si>
  <si>
    <t>No Protocol directive present. Ubuntu 25.04 uses a modern OpenSSH build which supports SSH Protocol 2 exclusively. SSHv1 is not available.</t>
  </si>
  <si>
    <t>Change SSH to non-default port</t>
  </si>
  <si>
    <t>grep ^Port /etc/ssh/sshd_config</t>
  </si>
  <si>
    <t>#Port 22 is commented out — SSH is listening on default port 22 (confirmed in HC_ListeningPorts.txt: 0.0.0.0:22). UFW allows 1022/tcp but no listener exists on 1022. Recommend migrating SSH to a non-default port.</t>
  </si>
  <si>
    <t>Restrict SSH to specific users/groups</t>
  </si>
  <si>
    <t>grep AllowUsers /etc/ssh/sshd_config</t>
  </si>
  <si>
    <t>No AllowUsers or AllowGroups directive in /etc/ssh/sshd_config. Any valid system user account may attempt SSH login. Recommend adding 'AllowUsers eddy' or 'AllowGroups ssh-users' to restrict access.</t>
  </si>
  <si>
    <t>Set SSH MaxAuthTries ≤ 4</t>
  </si>
  <si>
    <t>grep MaxAuthTries /etc/ssh/sshd_config</t>
  </si>
  <si>
    <t>#MaxAuthTries 6 is commented — default value of 6 applies, exceeding the recommended maximum of 4. Recommend setting 'MaxAuthTries 4' explicitly.</t>
  </si>
  <si>
    <t>Disable empty passwords</t>
  </si>
  <si>
    <t>grep PermitEmptyPasswords /etc/ssh/sshd_config</t>
  </si>
  <si>
    <t>#PermitEmptyPasswords no is commented; secure default 'no' applies. Empty password SSH logins are not permitted.</t>
  </si>
  <si>
    <t>Set ClientAliveInterval and ClientAliveCountMax</t>
  </si>
  <si>
    <t>grep ClientAlive /etc/ssh/sshd_config</t>
  </si>
  <si>
    <t>ClientAliveInterval and ClientAliveCountMax are both commented out. Default ClientAliveInterval=0 means no keepalive probes are sent and idle SSH sessions never time out automatically. Recommend: ClientAliveInterval 300, ClientAliveCountMax 3.</t>
  </si>
  <si>
    <t>SSH Keys</t>
  </si>
  <si>
    <t>Use strong key algorithms (ed25519/RSA-4096)</t>
  </si>
  <si>
    <t>ssh-keygen -t ed25519</t>
  </si>
  <si>
    <t>No authorized_keys content or SSH key type information available in provided logs. Manually verify that all ~/.ssh/authorized_keys entries use ed25519 or RSA-4096 keys only. Remove any DSA/RSA-1024 keys.</t>
  </si>
  <si>
    <t>Disable X11 forwarding</t>
  </si>
  <si>
    <t>grep X11Forwarding /etc/ssh/sshd_config</t>
  </si>
  <si>
    <t>X11Forwarding is explicitly set to 'yes' in /etc/ssh/sshd_config. X11 forwarding is a security risk — it can be exploited to hijack the display or pivot through the connection. Set 'X11Forwarding no'.</t>
  </si>
  <si>
    <t>Disable TCP forwarding</t>
  </si>
  <si>
    <t>grep AllowTcpForwarding /etc/ssh/sshd_config</t>
  </si>
  <si>
    <t>#AllowTcpForwarding yes is commented — default 'yes' applies. TCP port forwarding is enabled and could be used for tunneling or bypassing firewall rules. Recommend 'AllowTcpForwarding no'.</t>
  </si>
  <si>
    <t>Restrict SSH ciphers to strong ones</t>
  </si>
  <si>
    <t>grep Ciphers /etc/ssh/sshd_config</t>
  </si>
  <si>
    <t>No Ciphers, MACs, or KexAlgorithms directives in sshd_config. Default suite may include weak algorithms. Recommend adding: Ciphers chacha20-poly1305@openssh.com,aes256-gcm@openssh.com; MACs hmac-sha2-512-etm@openssh.com,hmac-sha2-256-etm@openssh.com.</t>
  </si>
  <si>
    <t>FIREWALL &amp; NETWORK</t>
  </si>
  <si>
    <t>Firewall</t>
  </si>
  <si>
    <t>Enable and start firewall (ufw/firewalld/iptables)</t>
  </si>
  <si>
    <t>ufw status  OR  firewall-cmd --state</t>
  </si>
  <si>
    <t>UFW is active (Status: active). iptables INPUT chain policy is DROP. Firewall is running and configured.</t>
  </si>
  <si>
    <t>Set default policy to DENY all inbound</t>
  </si>
  <si>
    <t>ufw default deny incoming</t>
  </si>
  <si>
    <t>Default UFW policy: deny (incoming), allow (outgoing). iptables INPUT policy is DROP. All inbound traffic denied by default.</t>
  </si>
  <si>
    <t>Allow only required ports (22, 80, 443, etc.)</t>
  </si>
  <si>
    <t>ufw allow 22/tcp  &amp;&amp;  ufw status verbose</t>
  </si>
  <si>
    <t>Core ports (22, 80, 443) are allowed. Concerns: (1) Port 161/UDP (SNMP) is open to 'Anywhere' — snmpd is running on 0.0.0.0; (2) Ports 5000, 5001, 5060, 5070 open to all — verify necessity; (3) 1022/tcp allowed in UFW but no SSH listener on that port detected. Review and remove unnecessary rules.</t>
  </si>
  <si>
    <t>Enable logging for dropped packets</t>
  </si>
  <si>
    <t>ufw logging on  OR  iptables -A INPUT -j LOG</t>
  </si>
  <si>
    <t>UFW logging is enabled (Logging: on) but at 'low' level. Low logging captures only blocked traffic basics. Recommend increasing to 'ufw logging medium' for better dropped-packet visibility.</t>
  </si>
  <si>
    <t>Network</t>
  </si>
  <si>
    <t>Disable IPv6 if not needed</t>
  </si>
  <si>
    <t>/etc/sysctl.conf: net.ipv6.conf.all.disable_ipv6=1</t>
  </si>
  <si>
    <t>IPv6 is active — UFW has parallel IPv6 rules for all open ports. net.ipv6.conf.all.disable_ipv6 is not set. If IPv6 is not operationally required, disable it via /etc/sysctl.conf: net.ipv6.conf.all.disable_ipv6=1.</t>
  </si>
  <si>
    <t>Disable IP forwarding (non-router)</t>
  </si>
  <si>
    <t>/etc/sysctl.conf: net.ipv4.ip_forward=0</t>
  </si>
  <si>
    <t>net.ipv4.ip_forward = 0. IP forwarding is disabled. Server is not acting as a router.</t>
  </si>
  <si>
    <t>Disable ICMP redirects</t>
  </si>
  <si>
    <t>/etc/sysctl.conf: net.ipv4.conf.all.accept_redirects=0</t>
  </si>
  <si>
    <t>net.ipv4.conf.all.accept_redirects=0 and default.accept_redirects=0 are correctly set. However, net.ipv4.conf.all.send_redirects=1 — the server is SENDING ICMP redirects. Set net.ipv4.conf.all.send_redirects=0 and net.ipv4.conf.default.send_redirects=0.</t>
  </si>
  <si>
    <t>Enable TCP SYN cookies</t>
  </si>
  <si>
    <t>/etc/sysctl.conf: net.ipv4.tcp_syncookies=1</t>
  </si>
  <si>
    <t>net.ipv4.tcp_syncookies = 1. TCP SYN cookies are enabled, protecting against SYN flood attacks.</t>
  </si>
  <si>
    <t>Ignore ICMP broadcast requests</t>
  </si>
  <si>
    <t>/etc/sysctl.conf: net.ipv4.icmp_echo_ignore_broadcasts=1</t>
  </si>
  <si>
    <t>net.ipv4.icmp_echo_ignore_broadcasts = 1. Broadcast ping (Smurf attack vector) is ignored.</t>
  </si>
  <si>
    <t>Block outbound to suspicious ports</t>
  </si>
  <si>
    <t>iptables -A OUTPUT -p tcp --dport &lt;port&gt; -j DROP</t>
  </si>
  <si>
    <t>No outbound DROP/REJECT rules found in UFW configuration. Only inbound ALLOW rules are present. Recommend adding rules to block outbound traffic on suspicious ports (e.g., 23, 6667, known C2 ports).</t>
  </si>
  <si>
    <t>Disable source routing</t>
  </si>
  <si>
    <t>/etc/sysctl.conf: net.ipv4.conf.all.accept_source_route=0</t>
  </si>
  <si>
    <t>net.ipv4.conf.all.accept_source_route = 0. Source routing (used in man-in-the-middle attacks) is disabled.</t>
  </si>
  <si>
    <t>Enable reverse path filtering</t>
  </si>
  <si>
    <t>/etc/sysctl.conf: net.ipv4.conf.all.rp_filter=1</t>
  </si>
  <si>
    <t>net.ipv4.conf.all.rp_filter = 0 (disabled globally). net.ipv4.conf.default.rp_filter = 2 only applies to new interfaces. The 'all' parameter must be set to 1 (loose) or 2 (strict) to globally enable reverse path filtering.</t>
  </si>
  <si>
    <t>Restrict /proc/net access</t>
  </si>
  <si>
    <t>chmod 700 /proc/net (or use hidepid)</t>
  </si>
  <si>
    <t>No hidepid mount option detected for /proc filesystem in available metadata. /proc is fully accessible to all local users, exposing process information. Add 'hidepid=2' to /proc mount options in /etc/fstab.</t>
  </si>
  <si>
    <t>Disable Bluetooth if not needed</t>
  </si>
  <si>
    <t>systemctl disable bluetooth</t>
  </si>
  <si>
    <t>Bluetooth is not listed in HC_RiskyServices.txt. Status cannot be fully confirmed from available logs. Verify with 'systemctl status bluetooth' and disable if not needed.</t>
  </si>
  <si>
    <t>SYSTEM UPDATES &amp; PATCHES</t>
  </si>
  <si>
    <t>Updates</t>
  </si>
  <si>
    <t>Apply all security patches</t>
  </si>
  <si>
    <t>apt-get update &amp;&amp; apt-get upgrade -y  OR  yum update</t>
  </si>
  <si>
    <t>apt reports 0 packages pending upgrade. HC_PatchStatus.txt: 'Pending security updates: None detected.' System is fully patched as of 2026-05-21.</t>
  </si>
  <si>
    <t>Enable automatic security updates</t>
  </si>
  <si>
    <t>dpkg -l unattended-upgrades  OR  yum-cron</t>
  </si>
  <si>
    <t>unattended-upgrades v2.12ubuntu4 is installed (ii status). Ubuntu security and ESM security origins are configured. Automatic security updates are active.</t>
  </si>
  <si>
    <t>Subscribe to OS security advisories</t>
  </si>
  <si>
    <t>Check vendor security mailing list / RSS</t>
  </si>
  <si>
    <t>Cannot verify security advisory subscription from provided logs. Recommend confirming subscription to Ubuntu Security Notices (https://ubuntu.com/security/notices) or USN mailing list.</t>
  </si>
  <si>
    <t>Verify package integrity (GPG signatures)</t>
  </si>
  <si>
    <t>apt-get install --allow-unauthenticated → AVOID this</t>
  </si>
  <si>
    <t>Package manager uses GPG verification by default and unattended-upgrades does not disable authentication. Cannot confirm all manual package installs use GPG. Policy: never use --allow-unauthenticated or --no-check-certificate.</t>
  </si>
  <si>
    <t>Remove unused packages and software</t>
  </si>
  <si>
    <t>apt-get autoremove  OR  yum autoremove</t>
  </si>
  <si>
    <t>Unattended-Upgrade::Remove-Unused-Dependencies is commented/disabled. FTP package is installed (riskyServices.txt) but service is inactive. Run 'apt remove ftp &amp;&amp; apt autoremove' to clean up unused packages.</t>
  </si>
  <si>
    <t>Keep kernel updated</t>
  </si>
  <si>
    <t>uname -r  &amp;&amp;  apt-get dist-upgrade</t>
  </si>
  <si>
    <t>No pending kernel updates detected. Kernel is current as of assessment date (Ubuntu 25.04).</t>
  </si>
  <si>
    <t>Check for outdated third-party software</t>
  </si>
  <si>
    <t>pip list --outdated  OR  npm audit</t>
  </si>
  <si>
    <t>No pip/npm audit or third-party CVE check output provided. Dotnet runtime and nginx versions visible in process list but cannot be cross-referenced against CVE databases from available logs alone.</t>
  </si>
  <si>
    <t>Document patch management process</t>
  </si>
  <si>
    <t>Internal runbook / policy</t>
  </si>
  <si>
    <t>No patch management runbook or policy documentation reference found in assessment logs. Recommend creating and maintaining a documented patch management process.</t>
  </si>
  <si>
    <t>FILE SYSTEM &amp; PERMISSIONS</t>
  </si>
  <si>
    <t>Permissions</t>
  </si>
  <si>
    <t>Ensure /etc/passwd is 644</t>
  </si>
  <si>
    <t>stat /etc/passwd</t>
  </si>
  <si>
    <t>/etc/passwd: permissions 644, owner root:root. Correct — readable by all, writable only by root.</t>
  </si>
  <si>
    <t>Ensure /etc/shadow is 000 or 640</t>
  </si>
  <si>
    <t>stat /etc/shadow</t>
  </si>
  <si>
    <t>/etc/shadow: permissions 640, owner root:shadow. Correct — readable only by root and shadow group.</t>
  </si>
  <si>
    <t>Find world-writable files</t>
  </si>
  <si>
    <t>find / -type f -perm -o+w 2&gt;/dev/null</t>
  </si>
  <si>
    <t>/bin (777) and /sbin (777) appear world-writable in MetaData.txt. These are symlinks to /usr/bin and /usr/sbin in Ubuntu 25.04 — Linux symlinks always show 777 permissions (not a real risk). No other world-writable regular files detected in available metadata. A full 'find / -perm -o+w' output is not provided.</t>
  </si>
  <si>
    <t>Find SUID/SGID executables</t>
  </si>
  <si>
    <t>find / -perm /6000 -type f 2&gt;/dev/null</t>
  </si>
  <si>
    <t>No SUID/SGID file scan output (find / -perm /6000) provided in assessment logs. This check cannot be completed without the full scan results. Schedule and include in next assessment.</t>
  </si>
  <si>
    <t>Secure /etc/crontab and cron dirs</t>
  </si>
  <si>
    <t>stat /etc/crontab /etc/cron.d</t>
  </si>
  <si>
    <t>/etc/cron.d: permissions 755 — world-readable, exposing scheduled job configurations to all local users. Recommend 'chmod 700 /etc/cron.d'. /var/spool/cron/crontabs: 1730 (sticky, root:crontab) — standard Ubuntu permission.</t>
  </si>
  <si>
    <t>Filesystem</t>
  </si>
  <si>
    <t>Mount /tmp with noexec,nosuid,nodev</t>
  </si>
  <si>
    <t>grep /tmp /etc/fstab</t>
  </si>
  <si>
    <t>/tmp is not configured as a separate mount with security options in available filesystem metadata. noexec, nosuid, nodev are not applied to /tmp. This allows execution of malicious binaries dropped in /tmp. Add to /etc/fstab: tmpfs /tmp tmpfs defaults,noexec,nosuid,nodev 0 0</t>
  </si>
  <si>
    <t>Mount /var with nodev</t>
  </si>
  <si>
    <t>grep /var /etc/fstab</t>
  </si>
  <si>
    <t>/var is not listed as a separate mount point with nodev option in available filesystem metadata. Recommend mounting /var on a dedicated partition with nodev option.</t>
  </si>
  <si>
    <t>Mount /home with nodev</t>
  </si>
  <si>
    <t>grep /home /etc/fstab</t>
  </si>
  <si>
    <t>/home is not listed as a separate mount point with nodev option. Recommend mounting /home with nodev option to prevent device file creation.</t>
  </si>
  <si>
    <t>Check home directory permissions (750 or 700)</t>
  </si>
  <si>
    <t>ls -la /home/</t>
  </si>
  <si>
    <t>/home root directory: permissions 755 (root:root). Individual home dirs (/home/eddy, /home/khendra) permissions not available in provided logs. Verify each is set to 750 (or 700): 'chmod 750 /home/eddy /home/khendra'.</t>
  </si>
  <si>
    <t>Ensure no unowned files</t>
  </si>
  <si>
    <t>find / -nouser -o -nogroup 2&gt;/dev/null</t>
  </si>
  <si>
    <t>No unowned file scan ('find / -nouser -o -nogroup') results provided in assessment logs. Include this output in the next automated assessment run.</t>
  </si>
  <si>
    <t>Enable filesystem integrity monitoring</t>
  </si>
  <si>
    <t>aide --check  OR  tripwire --check</t>
  </si>
  <si>
    <t>No AIDE, Tripwire, or equivalent file integrity monitoring installation evidence found in any provided log. Filesystem integrity monitoring is not deployed. Install and initialise AIDE: 'apt install aide &amp;&amp; aideinit'.</t>
  </si>
  <si>
    <t>Disable USB storage if not needed</t>
  </si>
  <si>
    <t>echo 'install usb-storage /bin/true' &gt; /etc/modprobe.d/usb.conf</t>
  </si>
  <si>
    <t>/etc/modprobe.d directory exists (755). Individual module blacklist file contents not provided in logs. Verify usb-storage is blacklisted: check for 'install usb-storage /bin/true' in /etc/modprobe.d/.</t>
  </si>
  <si>
    <t>LOGGING &amp; AUDITING</t>
  </si>
  <si>
    <t>Logging</t>
  </si>
  <si>
    <t>Enable and configure syslog/rsyslog/journald</t>
  </si>
  <si>
    <t>systemctl status rsyslog</t>
  </si>
  <si>
    <t>rsyslog configuration files present in /etc/rsyslog.d/ (50-default.conf, 20-ufw.conf, 21-cloudinit.conf). rsyslogd is running under AppArmor enforce mode (HC_MACEnforcement.txt). Journal.txt confirms systemd journal is operational.</t>
  </si>
  <si>
    <t>Log all authentication events</t>
  </si>
  <si>
    <t>grep auth /etc/rsyslog.conf</t>
  </si>
  <si>
    <t>rsyslog 50-default.conf is present and auth events are being captured. Journal.txt confirms: 'pam_unix(sudo:session): session opened for user root by eddy' — authentication events logged.</t>
  </si>
  <si>
    <t>Enable auditd service</t>
  </si>
  <si>
    <t>systemctl status auditd</t>
  </si>
  <si>
    <t>No auditd status, audit rules file (/etc/audit/rules.d/), or audit log output found in any provided log. The auditd service does not appear to be installed or enabled. Install: 'apt install auditd audispd-plugins &amp;&amp; systemctl enable auditd'.</t>
  </si>
  <si>
    <t>Audit privileged command usage</t>
  </si>
  <si>
    <t>auditctl -a always,exit -F arch=b64 -S execve -F euid=0</t>
  </si>
  <si>
    <t>No auditctl rules or /etc/audit/rules.d/ configurations provided. Privileged command execution auditing (execve for euid=0) is not configured. Required rule: -a always,exit -F arch=b64 -S execve -F euid=0 -k privileged.</t>
  </si>
  <si>
    <t>Log sudo usage</t>
  </si>
  <si>
    <t>grep log_file /etc/sudoers</t>
  </si>
  <si>
    <t>Sudo activity confirmed in Journal.txt (session logged via syslog). However, no 'Defaults logfile' or 'Defaults log_file=/var/log/sudo.log' directive in /etc/sudoers for a dedicated, searchable sudo log file.</t>
  </si>
  <si>
    <t>Set log retention ≥ 90 days</t>
  </si>
  <si>
    <t>grep rotate /etc/logrotate.conf</t>
  </si>
  <si>
    <t>/etc/logrotate.d directory exists but logrotate.conf content was not provided in assessment logs. Log retention period (≥90 days) cannot be confirmed. Verify: grep -E 'rotate|weekly|monthly' /etc/logrotate.conf</t>
  </si>
  <si>
    <t>Forward logs to remote syslog server</t>
  </si>
  <si>
    <t>grep @@remote /etc/rsyslog.conf</t>
  </si>
  <si>
    <t>No remote syslog forwarding configuration (e.g., '@@remote_host:514') found in available rsyslog config files. All logs are stored locally only. Centralised log forwarding should be configured for tamper resistance.</t>
  </si>
  <si>
    <t>Monitor /var/log/auth.log regularly</t>
  </si>
  <si>
    <t>tail -f /var/log/auth.log</t>
  </si>
  <si>
    <t>/var/log directory exists (755, root:syslog). No automated monitoring of /var/log/auth.log (logwatch, OSSEC, scripts) is evident from provided logs. Manual monitoring is not a reliable control.</t>
  </si>
  <si>
    <t>Restrict log file permissions</t>
  </si>
  <si>
    <t>ls -la /var/log/</t>
  </si>
  <si>
    <t>/var/log permissions: 755 (world-readable directory). Sensitive log files (e.g., auth.log, syslog) may be readable by unprivileged users. Verify individual log file permissions — auth.log should be 640.</t>
  </si>
  <si>
    <t>Set up log alerting (fail2ban/OSSEC)</t>
  </si>
  <si>
    <t>systemctl status fail2ban</t>
  </si>
  <si>
    <t>No fail2ban, OSSEC/Wazuh, or logwatch configuration evidence found in any provided log. No automated log alerting or intrusion response mechanism is deployed.</t>
  </si>
  <si>
    <t>SERVICES &amp; DAEMONS</t>
  </si>
  <si>
    <t>Services</t>
  </si>
  <si>
    <t>Disable unused network services</t>
  </si>
  <si>
    <t>systemctl list-units --type=service --state=running</t>
  </si>
  <si>
    <t>All legacy risky services (telnet, ftp, rsh, rlogin, rexec, vsftpd, xinetd, tftp, nis, rpcbind) are inactive (HC_RiskyServices.txt). However, FTP package is installed (riskyServices.txt). snmpd is running and listening on 0.0.0.0:161 UDP — accessible from all interfaces. Review snmpd community strings.</t>
  </si>
  <si>
    <t>Check for open ports</t>
  </si>
  <si>
    <t>ss -tlnp  OR  netstat -tlnp</t>
  </si>
  <si>
    <t>TCP listening: 22 (sshd), 80 (nginx), 443 (nginx), 53 (systemd-resolve, localhost only), 5030 and 5050 (dotnet, localhost only). UDP: 161 (snmpd, 0.0.0.0 — all interfaces). All ports documented. SNMP on 0.0.0.0 should be reviewed.</t>
  </si>
  <si>
    <t>Disable Telnet, FTP, rsh, rlogin</t>
  </si>
  <si>
    <t>systemctl disable telnet ftp rsh</t>
  </si>
  <si>
    <t>Telnet, rsh, rlogin, rexec services are all inactive (HC_RiskyServices.txt). FTP service is inactive but FTP package remains installed (riskyServices.txt). Remove with: 'apt remove ftp --purge'.</t>
  </si>
  <si>
    <t>Disable NFS if not needed</t>
  </si>
  <si>
    <t>systemctl disable nfs-server</t>
  </si>
  <si>
    <t>NFS is not detected in HC_RiskyServices.txt or in listening port scan. NFS does not appear to be in use.</t>
  </si>
  <si>
    <t>Disable Avahi/mDNS if not needed</t>
  </si>
  <si>
    <t>systemctl disable avahi-daemon</t>
  </si>
  <si>
    <t>No Avahi/mDNS service detected in HC_RiskyServices.txt or listening ports. Avahi is not running.</t>
  </si>
  <si>
    <t>Run services as least-privilege users</t>
  </si>
  <si>
    <t>ps aux | grep &lt;service&gt;</t>
  </si>
  <si>
    <t>nginx runs with 20+ workers (HC_ListeningPorts.txt). www-data user exists in /etc/passwd for web services. dotnet processes running — user context unconfirmed. Verify dotnet and nginx run under dedicated, non-privileged service accounts (not root).</t>
  </si>
  <si>
    <t>Disable CUPS if printing not needed</t>
  </si>
  <si>
    <t>systemctl disable cups</t>
  </si>
  <si>
    <t>CUPS printing service not found in HC_RiskyServices.txt or listening ports. Printing is not running.</t>
  </si>
  <si>
    <t>Disable rpcbind if not needed</t>
  </si>
  <si>
    <t>systemctl disable rpcbind</t>
  </si>
  <si>
    <t>rpcbind is inactive (HC_RiskyServices.txt). RPC services are not exposed.</t>
  </si>
  <si>
    <t>Review inetd/xinetd configuration</t>
  </si>
  <si>
    <t>cat /etc/inetd.conf  OR  ls /etc/xinetd.d/</t>
  </si>
  <si>
    <t>xinetd is inactive (HC_RiskyServices.txt). No inetd/xinetd configuration is active.</t>
  </si>
  <si>
    <t>Verify cron jobs for unauthorized entries</t>
  </si>
  <si>
    <t>crontab -l -u root  &amp;&amp;  cat /etc/cron.*/*</t>
  </si>
  <si>
    <t>/etc/cron.d directory exists but individual crontab contents were not included in assessment logs. Manually verify: 'crontab -l -u root &amp;&amp; cat /etc/cron.d/* &amp;&amp; cat /etc/cron.daily/*' for unauthorised entries.</t>
  </si>
  <si>
    <t xml:space="preserve"> KERNEL HARDENING</t>
  </si>
  <si>
    <t>Kernel</t>
  </si>
  <si>
    <t>Enable ASLR</t>
  </si>
  <si>
    <t>sysctl kernel.randomize_va_space (should be 2)</t>
  </si>
  <si>
    <t>kernel.randomize_va_space = 2. Full ASLR is enabled — stack, heap, and library base addresses are randomised.</t>
  </si>
  <si>
    <t>Restrict ptrace scope</t>
  </si>
  <si>
    <t>sysctl kernel.yama.ptrace_scope (should be ≥1)</t>
  </si>
  <si>
    <t>kernel.yama.ptrace_scope = 1. ptrace is restricted to parent processes. Unprivileged process tracing (used in some local privilege escalation exploits) is blocked.</t>
  </si>
  <si>
    <t>Disable core dumps</t>
  </si>
  <si>
    <t>grep hard /etc/security/limits.conf | grep core</t>
  </si>
  <si>
    <t>fs.suid_dumpable = 0 — SUID process core dumps are disabled (HC_KernelHardening.txt). /etc/security/limits.conf content not provided — cannot confirm 'hard core 0' limit is set for all users.</t>
  </si>
  <si>
    <t>Restrict /proc/sys access</t>
  </si>
  <si>
    <t>grep hidepid /etc/fstab</t>
  </si>
  <si>
    <t>No hidepid option found on /proc mount. /proc is fully accessible to local unprivileged users, exposing process cmdlines, environment variables, and other sensitive data. Add to /etc/fstab: proc /proc proc defaults,hidepid=2,gid=&lt;group&gt; 0 0</t>
  </si>
  <si>
    <t>Disable loading of unused kernel modules</t>
  </si>
  <si>
    <t>echo 'install &lt;mod&gt; /bin/true' /etc/modprobe.d/</t>
  </si>
  <si>
    <t>/etc/modprobe.d directory exists (755, MetaData.txt). Individual module blacklist configurations not provided. Verify unused/risky kernel modules (dccp, sctp, rds, tipc, usb-storage) are blacklisted.</t>
  </si>
  <si>
    <t>Enable ExecShield (or NX bit) if available</t>
  </si>
  <si>
    <t>dmesg | grep NX  OR  check CPU flags</t>
  </si>
  <si>
    <t>Ubuntu 25.04 on x86_64 supports NX/XD bit by default. fs.protected_hardlinks=1 and fs.protected_symlinks=1 are both enabled, preventing hardlink/symlink-based privilege escalation attacks.</t>
  </si>
  <si>
    <t>Apply kernel hardening sysctl settings</t>
  </si>
  <si>
    <t>cat /etc/sysctl.conf</t>
  </si>
  <si>
    <t>Several sysctl settings are applied (ASLR, syncookies, accept_redirects=0, dmesg_restrict=1, kptr_restrict=1). Issues found: (1) net.ipv4.conf.all.send_redirects=1 (must be 0 for non-router); (2) net.ipv4.conf.all.rp_filter=0 (must be 1 or 2); (3) net.ipv4.conf.all.log_martians=0 (recommend 1 for logging spoofed packets).</t>
  </si>
  <si>
    <t>Use SELinux or AppArmor</t>
  </si>
  <si>
    <t>getenforce  OR  aa-status</t>
  </si>
  <si>
    <t>AppArmor loaded with 211 profiles (123 enforce, 10 complain, 78 unconfined). rsyslogd confirmed in enforce mode. 10 profiles in complain mode (sssd, Xorg, certbot, transmission) — review and transition to enforce where feasible.</t>
  </si>
  <si>
    <t>Keep kernel modules signed</t>
  </si>
  <si>
    <t>cat /sys/module/*/parameters/</t>
  </si>
  <si>
    <t>Kernel module signing status not available from provided logs. Verify via 'cat /proc/sys/kernel/modules_disabled' and Secure Boot / module signing configuration status.</t>
  </si>
  <si>
    <t>MALWARE and IDS</t>
  </si>
  <si>
    <t>Antivirus</t>
  </si>
  <si>
    <t>Install and run ClamAV or similar</t>
  </si>
  <si>
    <t>clamscan -r /  &amp;&amp;  systemctl status clamav-freshclam</t>
  </si>
  <si>
    <t>No ClamAV installation, clamav-freshclam service, or scan results found in any provided log. Antivirus protection is not deployed. Install: 'apt install clamav clamav-daemon &amp;&amp; freshclam'.</t>
  </si>
  <si>
    <t>Rootkit</t>
  </si>
  <si>
    <t>Run rootkit detection (chkrootkit/rkhunter)</t>
  </si>
  <si>
    <t>chkrootkit  &amp;&amp;  rkhunter --check</t>
  </si>
  <si>
    <t>No chkrootkit or rkhunter output found in assessment logs. Rootkit detection is not configured or scheduled. Install: 'apt install rkhunter chkrootkit' and schedule weekly scans via cron.</t>
  </si>
  <si>
    <t>IDS/IPS</t>
  </si>
  <si>
    <t>Deploy host-based IDS (OSSEC/Wazuh/Samhain)</t>
  </si>
  <si>
    <t>systemctl status wazuh-agent</t>
  </si>
  <si>
    <t>No Wazuh, OSSEC, or Samhain agent evidence found in any provided log. No host-based IDS (HIDS) is deployed. Recommend deploying Wazuh agent and connecting to a central manager.</t>
  </si>
  <si>
    <t>Integrity</t>
  </si>
  <si>
    <t>Run file integrity checking (AIDE/Tripwire)</t>
  </si>
  <si>
    <t>aide --check</t>
  </si>
  <si>
    <t>No AIDE or Tripwire check output or database found. File integrity monitoring is not active. Install: 'apt install aide &amp;&amp; aideinit &amp;&amp; aide --check' (schedule daily).</t>
  </si>
  <si>
    <t>Malware</t>
  </si>
  <si>
    <t>Check for suspicious running processes</t>
  </si>
  <si>
    <t>ps aux | grep -v grep | less</t>
  </si>
  <si>
    <t>Running processes from HC_ListeningPorts.txt: sshd, nginx (21 workers), dotnet (2 instances), systemd-resolve, snmpd. No obviously suspicious processes detected in available data. Full 'ps aux' output was not included — include in future assessment runs.</t>
  </si>
  <si>
    <t>Check for suspicious network connections</t>
  </si>
  <si>
    <t>ss -tlnp  &amp;&amp;  netstat -an</t>
  </si>
  <si>
    <t>ESTABLISHED connections in HC_ListeningPorts.txt are to internal trusted hosts only: 172.28.60.201:6432 (PostgreSQL/pgBouncer), 172.28.60.120:5432 (PostgreSQL), 172.28.61.23 (SSH admin sessions), 172.28.87.2 (HTTPS clients). No suspicious external connections detected.</t>
  </si>
  <si>
    <t>Scan for suspicious cron/systemd units</t>
  </si>
  <si>
    <t>find /etc/systemd/ -name '*.service' | xargs grep -l ExecStart</t>
  </si>
  <si>
    <t>Full systemd service unit listing and cron job content not provided in assessment logs. Run: 'find /etc/systemd/system -name *.service | xargs grep -l ExecStart' and 'cat /etc/cron.*/* /var/spool/cron/crontabs/*' to verify no unauthorised entries.</t>
  </si>
  <si>
    <t>Verify binary checksums against known good</t>
  </si>
  <si>
    <t>md5sum /bin/ls  &amp;&amp;  debsums -c</t>
  </si>
  <si>
    <t>No debsums, md5sum system binary verification, or package integrity check output provided. Hashes.txt only contains checksums for assessment output files, not system binaries. Run: 'debsums -c' to verify installed package file integrity.</t>
  </si>
  <si>
    <t>BACKUP &amp; RECOVERY</t>
  </si>
  <si>
    <t>Backup</t>
  </si>
  <si>
    <t>Verify daily backups are running</t>
  </si>
  <si>
    <t>ls -lh /backup/  OR  check backup job logs</t>
  </si>
  <si>
    <t>No backup job logs, backup directory listings (/backup/), or backup service status found in any provided log. Daily backup status cannot be confirmed from available evidence.</t>
  </si>
  <si>
    <t>Test backup restoration process</t>
  </si>
  <si>
    <t>Restore to test environment periodically</t>
  </si>
  <si>
    <t>No backup restoration test results or test environment references found in assessment logs. Regular restoration testing is critical for confirming backup integrity.</t>
  </si>
  <si>
    <t>Store backups off-site or in separate account</t>
  </si>
  <si>
    <t>Check backup destination location</t>
  </si>
  <si>
    <t>No offsite, cloud storage, or separate-account backup destination configuration found in any provided log.</t>
  </si>
  <si>
    <t>Encrypt backup data at rest</t>
  </si>
  <si>
    <t>gpg --list-keys backup  OR  check backup tool config</t>
  </si>
  <si>
    <t>No GPG key listings, backup tool encryption configurations, or encrypted backup references found in assessment logs.</t>
  </si>
  <si>
    <t>Set backup retention policy (e.g., 30/90/365 days)</t>
  </si>
  <si>
    <t>Check backup rotation config</t>
  </si>
  <si>
    <t>No backup rotation configuration (e.g., 30/90/365-day retention) found in assessment logs.</t>
  </si>
  <si>
    <t>Monitor backup success/failure alerts</t>
  </si>
  <si>
    <t>Check backup monitoring dashboard/email</t>
  </si>
  <si>
    <t>No backup monitoring dashboard, email notification, or failure alerting configuration found in assessment logs.</t>
  </si>
  <si>
    <t>Document disaster recovery procedure</t>
  </si>
  <si>
    <t>Check DR runbook</t>
  </si>
  <si>
    <t>No disaster recovery runbook or DR procedure documentation reference found in assessment logs. A documented, tested DR procedure is required for business continuity.</t>
  </si>
  <si>
    <t xml:space="preserve">No </t>
  </si>
  <si>
    <t>Server list</t>
  </si>
  <si>
    <t>IP Address</t>
  </si>
  <si>
    <t>Description</t>
  </si>
  <si>
    <t>Purpose</t>
  </si>
  <si>
    <t>srubuntu</t>
  </si>
  <si>
    <t>172.28.60.120</t>
  </si>
  <si>
    <t>SR Pyspark</t>
  </si>
  <si>
    <t>Calculation+ Job Process</t>
  </si>
  <si>
    <t>wb-test</t>
  </si>
  <si>
    <t>172.28.60.201</t>
  </si>
  <si>
    <t>database</t>
  </si>
  <si>
    <t>stored app data</t>
  </si>
  <si>
    <t>wb-gpn</t>
  </si>
  <si>
    <t>103.109.152.189
172.28.60.200</t>
  </si>
  <si>
    <t>web server</t>
  </si>
  <si>
    <t>2 web (1 Live + 1 Test)</t>
  </si>
  <si>
    <t>Measures unnecessary</t>
  </si>
  <si>
    <t>Count</t>
  </si>
  <si>
    <t>In Progress</t>
  </si>
  <si>
    <t>TOTAL CHECKS</t>
  </si>
  <si>
    <t xml:space="preserve"> COMPLETED</t>
  </si>
  <si>
    <t xml:space="preserve"> IN PROGRESS (Partial)</t>
  </si>
  <si>
    <t>NOT DONE</t>
  </si>
  <si>
    <t>% Done</t>
  </si>
  <si>
    <r>
      <rPr>
        <u/>
        <sz val="10"/>
        <color theme="1"/>
        <rFont val="Arial"/>
        <family val="2"/>
      </rPr>
      <t>Server Purpose</t>
    </r>
    <r>
      <rPr>
        <sz val="10"/>
        <color theme="1"/>
        <rFont val="Arial"/>
        <family val="2"/>
      </rPr>
      <t xml:space="preserve">
Central data storage storing app data</t>
    </r>
  </si>
  <si>
    <t>Stores all application data (~600GB)</t>
  </si>
  <si>
    <t>It Supports transactional data, master data</t>
  </si>
  <si>
    <t>reporting datasets</t>
  </si>
  <si>
    <t>Handling replication (read-only access)</t>
  </si>
  <si>
    <t>And queries from Web/API server</t>
  </si>
  <si>
    <t>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</si>
</sst>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sz val="9"/>
      <color rgb="FF000000"/>
      <name val="Arial"/>
      <family val="2"/>
    </font>
    <font>
      <b/>
      <sz val="11"/>
      <color rgb="FFFFFFFF"/>
      <name val="Calibri"/>
      <family val="2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sz val="9"/>
      <color rgb="FF595959"/>
      <name val="Arial"/>
      <family val="2"/>
    </font>
    <font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5"/>
      <color rgb="FFFFFFFF"/>
      <name val="Arial"/>
      <charset val="1"/>
    </font>
    <font>
      <sz val="10"/>
      <color rgb="FFB0C4DE"/>
      <name val="Arial"/>
      <charset val="1"/>
    </font>
    <font>
      <b/>
      <sz val="10"/>
      <color rgb="FFFFFFFF"/>
      <name val="Arial"/>
      <charset val="1"/>
    </font>
    <font>
      <sz val="11"/>
      <color theme="1"/>
      <name val="Calibri"/>
      <family val="2"/>
      <charset val="1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10"/>
      <color rgb="FFFFFFFF"/>
      <name val="Arial"/>
    </font>
    <font>
      <sz val="10"/>
      <color rgb="FFB0C4DE"/>
      <name val="Arial"/>
      <family val="2"/>
    </font>
    <font>
      <b/>
      <sz val="9"/>
      <color rgb="FFFFFFFF"/>
      <name val="Arial"/>
      <family val="2"/>
    </font>
    <font>
      <b/>
      <sz val="22"/>
      <color rgb="FFFFFFFF"/>
      <name val="Arial"/>
      <family val="2"/>
    </font>
    <font>
      <b/>
      <sz val="10"/>
      <name val="Arial"/>
      <family val="2"/>
    </font>
    <font>
      <u/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</patternFill>
    </fill>
    <fill>
      <patternFill patternType="solid">
        <fgColor rgb="FF0D1B2A"/>
        <bgColor rgb="FF002060"/>
      </patternFill>
    </fill>
    <fill>
      <patternFill patternType="solid">
        <fgColor rgb="FF1A2F4A"/>
        <bgColor rgb="FF1F3864"/>
      </patternFill>
    </fill>
    <fill>
      <patternFill patternType="solid">
        <fgColor rgb="FFF5F7FA"/>
        <bgColor rgb="FFFFFFFF"/>
      </patternFill>
    </fill>
    <fill>
      <patternFill patternType="solid">
        <fgColor rgb="FFFFFFFF"/>
        <bgColor rgb="FFF5F7FA"/>
      </patternFill>
    </fill>
    <fill>
      <patternFill patternType="solid">
        <fgColor rgb="FFFF4040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D9D9D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1"/>
        <bgColor rgb="FF3366FF"/>
      </patternFill>
    </fill>
    <fill>
      <patternFill patternType="solid">
        <fgColor rgb="FF2E7D32"/>
        <bgColor rgb="FF008000"/>
      </patternFill>
    </fill>
    <fill>
      <patternFill patternType="solid">
        <fgColor rgb="FFF57C00"/>
        <bgColor rgb="FFFF9900"/>
      </patternFill>
    </fill>
    <fill>
      <patternFill patternType="solid">
        <fgColor rgb="FFC62828"/>
        <bgColor rgb="FFE53935"/>
      </patternFill>
    </fill>
    <fill>
      <patternFill patternType="solid">
        <fgColor rgb="FF85ED8F"/>
        <bgColor rgb="FF008000"/>
      </patternFill>
    </fill>
    <fill>
      <patternFill patternType="solid">
        <fgColor rgb="FF002060"/>
        <bgColor rgb="FF002060"/>
      </patternFill>
    </fill>
    <fill>
      <patternFill patternType="solid">
        <fgColor rgb="FFE53935"/>
        <bgColor rgb="FFC62828"/>
      </patternFill>
    </fill>
    <fill>
      <patternFill patternType="solid">
        <fgColor rgb="FFFFC000"/>
        <bgColor rgb="FF3366FF"/>
      </patternFill>
    </fill>
    <fill>
      <patternFill patternType="solid">
        <fgColor rgb="FF00B050"/>
        <bgColor rgb="FF595959"/>
      </patternFill>
    </fill>
    <fill>
      <patternFill patternType="solid">
        <fgColor rgb="FFFF4040"/>
        <bgColor rgb="FFDDACB3"/>
      </patternFill>
    </fill>
    <fill>
      <patternFill patternType="solid">
        <fgColor theme="0"/>
        <bgColor rgb="FF1F3864"/>
      </patternFill>
    </fill>
  </fills>
  <borders count="19">
    <border>
      <left/>
      <right/>
      <top/>
      <bottom/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8" fillId="0" borderId="0"/>
    <xf numFmtId="0" fontId="8" fillId="0" borderId="0"/>
    <xf numFmtId="0" fontId="9" fillId="0" borderId="0"/>
    <xf numFmtId="0" fontId="10" fillId="0" borderId="0">
      <alignment vertical="center"/>
    </xf>
  </cellStyleXfs>
  <cellXfs count="10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6" borderId="0" xfId="0" applyFill="1"/>
    <xf numFmtId="0" fontId="5" fillId="7" borderId="0" xfId="0" applyFont="1" applyFill="1"/>
    <xf numFmtId="0" fontId="1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11" fillId="0" borderId="3" xfId="0" applyFont="1" applyBorder="1" applyAlignment="1">
      <alignment horizontal="left" vertical="center" wrapText="1"/>
    </xf>
    <xf numFmtId="0" fontId="0" fillId="0" borderId="10" xfId="0" applyBorder="1"/>
    <xf numFmtId="0" fontId="0" fillId="0" borderId="3" xfId="0" applyBorder="1"/>
    <xf numFmtId="0" fontId="0" fillId="0" borderId="5" xfId="0" applyBorder="1"/>
    <xf numFmtId="0" fontId="0" fillId="0" borderId="9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7" xfId="0" applyBorder="1"/>
    <xf numFmtId="0" fontId="0" fillId="8" borderId="11" xfId="0" applyFill="1" applyBorder="1" applyAlignment="1">
      <alignment horizontal="right"/>
    </xf>
    <xf numFmtId="0" fontId="0" fillId="8" borderId="6" xfId="0" applyFill="1" applyBorder="1"/>
    <xf numFmtId="0" fontId="0" fillId="8" borderId="8" xfId="0" applyFill="1" applyBorder="1"/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12" fillId="6" borderId="2" xfId="0" applyFont="1" applyFill="1" applyBorder="1" applyAlignment="1">
      <alignment horizontal="left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left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9" fillId="11" borderId="3" xfId="0" applyFont="1" applyFill="1" applyBorder="1" applyAlignment="1">
      <alignment horizontal="center" vertical="center" wrapText="1"/>
    </xf>
    <xf numFmtId="0" fontId="20" fillId="0" borderId="0" xfId="0" applyFont="1"/>
    <xf numFmtId="0" fontId="0" fillId="0" borderId="0" xfId="0"/>
    <xf numFmtId="0" fontId="23" fillId="0" borderId="3" xfId="0" applyFont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3" fillId="12" borderId="12" xfId="0" applyFont="1" applyFill="1" applyBorder="1" applyAlignment="1">
      <alignment horizontal="center" vertical="center" wrapText="1"/>
    </xf>
    <xf numFmtId="0" fontId="22" fillId="12" borderId="12" xfId="0" applyFont="1" applyFill="1" applyBorder="1" applyAlignment="1">
      <alignment horizontal="left" vertical="top" wrapText="1"/>
    </xf>
    <xf numFmtId="0" fontId="23" fillId="13" borderId="12" xfId="0" applyFont="1" applyFill="1" applyBorder="1" applyAlignment="1">
      <alignment horizontal="center" vertical="center" wrapText="1"/>
    </xf>
    <xf numFmtId="0" fontId="22" fillId="13" borderId="12" xfId="0" applyFont="1" applyFill="1" applyBorder="1" applyAlignment="1">
      <alignment horizontal="left" vertical="top" wrapText="1"/>
    </xf>
    <xf numFmtId="0" fontId="23" fillId="0" borderId="1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left" vertical="top" wrapText="1"/>
    </xf>
    <xf numFmtId="0" fontId="21" fillId="14" borderId="2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top" wrapText="1"/>
    </xf>
    <xf numFmtId="0" fontId="21" fillId="15" borderId="2" xfId="0" applyFont="1" applyFill="1" applyBorder="1" applyAlignment="1">
      <alignment horizontal="center" vertical="center" wrapText="1"/>
    </xf>
    <xf numFmtId="0" fontId="21" fillId="1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vertical="top" wrapText="1"/>
    </xf>
    <xf numFmtId="0" fontId="21" fillId="15" borderId="0" xfId="0" applyFont="1" applyFill="1" applyAlignment="1">
      <alignment horizontal="center" vertical="center" wrapText="1"/>
    </xf>
    <xf numFmtId="0" fontId="23" fillId="16" borderId="0" xfId="0" applyFont="1" applyFill="1" applyAlignment="1">
      <alignment horizontal="center" vertical="center" wrapText="1"/>
    </xf>
    <xf numFmtId="0" fontId="21" fillId="14" borderId="0" xfId="0" applyFont="1" applyFill="1" applyAlignment="1">
      <alignment horizontal="center" vertical="center" wrapText="1"/>
    </xf>
    <xf numFmtId="0" fontId="23" fillId="17" borderId="0" xfId="0" applyFont="1" applyFill="1" applyAlignment="1">
      <alignment horizontal="center" vertical="center" wrapText="1"/>
    </xf>
    <xf numFmtId="0" fontId="2" fillId="19" borderId="3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2" fillId="18" borderId="3" xfId="0" applyFont="1" applyFill="1" applyBorder="1" applyAlignment="1">
      <alignment horizontal="center" vertical="center" wrapText="1"/>
    </xf>
    <xf numFmtId="0" fontId="0" fillId="0" borderId="0" xfId="0"/>
    <xf numFmtId="9" fontId="28" fillId="12" borderId="16" xfId="0" applyNumberFormat="1" applyFont="1" applyFill="1" applyBorder="1" applyAlignment="1">
      <alignment horizontal="center" vertical="center" wrapText="1"/>
    </xf>
    <xf numFmtId="9" fontId="28" fillId="13" borderId="16" xfId="0" applyNumberFormat="1" applyFont="1" applyFill="1" applyBorder="1" applyAlignment="1">
      <alignment horizontal="center" vertical="center" wrapText="1"/>
    </xf>
    <xf numFmtId="9" fontId="1" fillId="11" borderId="16" xfId="0" applyNumberFormat="1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0" fontId="16" fillId="26" borderId="15" xfId="0" applyFont="1" applyFill="1" applyBorder="1" applyAlignment="1">
      <alignment horizontal="center" vertical="center" wrapText="1"/>
    </xf>
    <xf numFmtId="0" fontId="26" fillId="24" borderId="3" xfId="0" applyFont="1" applyFill="1" applyBorder="1" applyAlignment="1">
      <alignment horizontal="center" vertical="center" wrapText="1"/>
    </xf>
    <xf numFmtId="0" fontId="26" fillId="27" borderId="3" xfId="0" applyFont="1" applyFill="1" applyBorder="1" applyAlignment="1">
      <alignment horizontal="center" vertical="center" wrapText="1"/>
    </xf>
    <xf numFmtId="0" fontId="26" fillId="28" borderId="3" xfId="0" applyFont="1" applyFill="1" applyBorder="1" applyAlignment="1">
      <alignment horizontal="center" vertical="center" wrapText="1"/>
    </xf>
    <xf numFmtId="0" fontId="26" fillId="29" borderId="3" xfId="0" applyFont="1" applyFill="1" applyBorder="1" applyAlignment="1">
      <alignment horizontal="center" vertical="center" wrapText="1"/>
    </xf>
    <xf numFmtId="0" fontId="26" fillId="16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26" fillId="15" borderId="2" xfId="0" applyFont="1" applyFill="1" applyBorder="1" applyAlignment="1">
      <alignment horizontal="center" vertical="center" wrapText="1"/>
    </xf>
    <xf numFmtId="0" fontId="21" fillId="30" borderId="2" xfId="0" applyFont="1" applyFill="1" applyBorder="1" applyAlignment="1">
      <alignment horizontal="center" vertical="center" wrapText="1"/>
    </xf>
    <xf numFmtId="0" fontId="26" fillId="30" borderId="2" xfId="0" applyFont="1" applyFill="1" applyBorder="1" applyAlignment="1">
      <alignment horizontal="center" vertical="center" wrapText="1"/>
    </xf>
    <xf numFmtId="0" fontId="25" fillId="31" borderId="14" xfId="0" applyFont="1" applyFill="1" applyBorder="1" applyAlignment="1">
      <alignment horizontal="left" vertical="center" wrapText="1"/>
    </xf>
    <xf numFmtId="0" fontId="25" fillId="31" borderId="0" xfId="0" applyFont="1" applyFill="1" applyBorder="1" applyAlignment="1">
      <alignment horizontal="left" vertical="center" wrapText="1"/>
    </xf>
    <xf numFmtId="0" fontId="0" fillId="0" borderId="0" xfId="0"/>
    <xf numFmtId="0" fontId="25" fillId="31" borderId="0" xfId="0" applyFont="1" applyFill="1" applyAlignment="1">
      <alignment horizontal="left" vertical="center" wrapText="1"/>
    </xf>
    <xf numFmtId="0" fontId="27" fillId="24" borderId="0" xfId="0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25" fillId="11" borderId="14" xfId="0" applyFont="1" applyFill="1" applyBorder="1" applyAlignment="1">
      <alignment horizontal="left" vertical="center" wrapText="1"/>
    </xf>
    <xf numFmtId="0" fontId="26" fillId="21" borderId="6" xfId="0" applyFont="1" applyFill="1" applyBorder="1" applyAlignment="1">
      <alignment horizontal="center" vertical="center" wrapText="1"/>
    </xf>
    <xf numFmtId="0" fontId="26" fillId="24" borderId="6" xfId="0" applyFont="1" applyFill="1" applyBorder="1" applyAlignment="1">
      <alignment horizontal="center" vertical="center" wrapText="1"/>
    </xf>
    <xf numFmtId="0" fontId="27" fillId="21" borderId="13" xfId="0" applyFont="1" applyFill="1" applyBorder="1" applyAlignment="1">
      <alignment horizontal="center" vertical="center" wrapText="1"/>
    </xf>
    <xf numFmtId="0" fontId="27" fillId="25" borderId="5" xfId="0" applyFont="1" applyFill="1" applyBorder="1" applyAlignment="1">
      <alignment horizontal="center" vertical="center" wrapText="1"/>
    </xf>
    <xf numFmtId="0" fontId="27" fillId="25" borderId="17" xfId="0" applyFont="1" applyFill="1" applyBorder="1" applyAlignment="1">
      <alignment horizontal="center" vertical="center" wrapText="1"/>
    </xf>
    <xf numFmtId="0" fontId="27" fillId="25" borderId="10" xfId="0" applyFont="1" applyFill="1" applyBorder="1" applyAlignment="1">
      <alignment horizontal="center" vertical="center" wrapText="1"/>
    </xf>
    <xf numFmtId="0" fontId="26" fillId="22" borderId="5" xfId="0" applyFont="1" applyFill="1" applyBorder="1" applyAlignment="1">
      <alignment horizontal="center" vertical="center" wrapText="1"/>
    </xf>
    <xf numFmtId="0" fontId="26" fillId="22" borderId="17" xfId="0" applyFont="1" applyFill="1" applyBorder="1" applyAlignment="1">
      <alignment horizontal="center" vertical="center" wrapText="1"/>
    </xf>
    <xf numFmtId="0" fontId="26" fillId="22" borderId="10" xfId="0" applyFont="1" applyFill="1" applyBorder="1" applyAlignment="1">
      <alignment horizontal="center" vertical="center" wrapText="1"/>
    </xf>
    <xf numFmtId="0" fontId="26" fillId="23" borderId="5" xfId="0" applyFont="1" applyFill="1" applyBorder="1" applyAlignment="1">
      <alignment horizontal="center" vertical="center" wrapText="1"/>
    </xf>
    <xf numFmtId="0" fontId="26" fillId="23" borderId="17" xfId="0" applyFont="1" applyFill="1" applyBorder="1" applyAlignment="1">
      <alignment horizontal="center" vertical="center" wrapText="1"/>
    </xf>
    <xf numFmtId="0" fontId="26" fillId="23" borderId="10" xfId="0" applyFont="1" applyFill="1" applyBorder="1" applyAlignment="1">
      <alignment horizontal="center" vertical="center" wrapText="1"/>
    </xf>
    <xf numFmtId="0" fontId="27" fillId="23" borderId="7" xfId="0" applyFont="1" applyFill="1" applyBorder="1" applyAlignment="1">
      <alignment horizontal="center" vertical="center" wrapText="1"/>
    </xf>
    <xf numFmtId="0" fontId="27" fillId="23" borderId="18" xfId="0" applyFont="1" applyFill="1" applyBorder="1" applyAlignment="1">
      <alignment horizontal="center" vertical="center" wrapText="1"/>
    </xf>
    <xf numFmtId="0" fontId="11" fillId="31" borderId="0" xfId="0" applyFont="1" applyFill="1" applyAlignment="1">
      <alignment horizontal="left" vertical="center" wrapText="1"/>
    </xf>
    <xf numFmtId="0" fontId="18" fillId="11" borderId="0" xfId="0" applyFont="1" applyFill="1" applyAlignment="1">
      <alignment horizontal="center" vertical="center" wrapText="1"/>
    </xf>
    <xf numFmtId="0" fontId="20" fillId="0" borderId="0" xfId="0" applyFont="1"/>
    <xf numFmtId="0" fontId="17" fillId="1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/>
    <xf numFmtId="0" fontId="6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0" fillId="0" borderId="0" xfId="0" applyFont="1"/>
    <xf numFmtId="0" fontId="31" fillId="0" borderId="0" xfId="0" applyFont="1"/>
    <xf numFmtId="0" fontId="31" fillId="0" borderId="0" xfId="0" applyFont="1" applyAlignment="1">
      <alignment vertical="center"/>
    </xf>
  </cellXfs>
  <cellStyles count="5">
    <cellStyle name="Normal" xfId="0" builtinId="0"/>
    <cellStyle name="標準 2" xfId="4" xr:uid="{00000000-0005-0000-0000-000004000000}"/>
    <cellStyle name="標準 2 2" xfId="1" xr:uid="{00000000-0005-0000-0000-000001000000}"/>
    <cellStyle name="標準 2 2 2" xfId="2" xr:uid="{00000000-0005-0000-0000-000002000000}"/>
    <cellStyle name="標準_Sheet1" xfId="3" xr:uid="{00000000-0005-0000-0000-000003000000}"/>
  </cellStyles>
  <dxfs count="9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>
    <mruColors>
      <color rgb="FFDDACB3"/>
      <color rgb="FFFF9900"/>
      <color rgb="FF85ED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Completion Status by Security Domain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Dashboard!$D$7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cat>
            <c:strLit>
              <c:ptCount val="10"/>
              <c:pt idx="0">
                <c:v>Security Domain</c:v>
              </c:pt>
              <c:pt idx="1">
                <c:v>1. User and Authentication</c:v>
              </c:pt>
              <c:pt idx="2">
                <c:v>2. SSH Configuration</c:v>
              </c:pt>
              <c:pt idx="3">
                <c:v>3. Firewall and Network</c:v>
              </c:pt>
              <c:pt idx="4">
                <c:v>4. System Updates &amp; Patches</c:v>
              </c:pt>
              <c:pt idx="5">
                <c:v>5. File System and Permissions</c:v>
              </c:pt>
              <c:pt idx="6">
                <c:v>6. Logging and Auditing</c:v>
              </c:pt>
              <c:pt idx="7">
                <c:v>7. Services and Daemons</c:v>
              </c:pt>
              <c:pt idx="8">
                <c:v>8. Kernel Hardening</c:v>
              </c:pt>
              <c:pt idx="9">
                <c:v>9. Malware and Intrusion Detection</c:v>
              </c:pt>
            </c:strLit>
          </c:cat>
          <c:val>
            <c:numRef>
              <c:f>Dashboard!$D$8:$D$17</c:f>
              <c:numCache>
                <c:formatCode>General</c:formatCode>
                <c:ptCount val="10"/>
                <c:pt idx="0">
                  <c:v>5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0-4325-BB9E-0899521A4F45}"/>
            </c:ext>
          </c:extLst>
        </c:ser>
        <c:ser>
          <c:idx val="1"/>
          <c:order val="1"/>
          <c:tx>
            <c:strRef>
              <c:f>Dashboard!$E$7</c:f>
              <c:strCache>
                <c:ptCount val="1"/>
                <c:pt idx="0">
                  <c:v>In Progress (Partial)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Lit>
              <c:ptCount val="10"/>
              <c:pt idx="0">
                <c:v>Security Domain</c:v>
              </c:pt>
              <c:pt idx="1">
                <c:v>1. User and Authentication</c:v>
              </c:pt>
              <c:pt idx="2">
                <c:v>2. SSH Configuration</c:v>
              </c:pt>
              <c:pt idx="3">
                <c:v>3. Firewall and Network</c:v>
              </c:pt>
              <c:pt idx="4">
                <c:v>4. System Updates &amp; Patches</c:v>
              </c:pt>
              <c:pt idx="5">
                <c:v>5. File System and Permissions</c:v>
              </c:pt>
              <c:pt idx="6">
                <c:v>6. Logging and Auditing</c:v>
              </c:pt>
              <c:pt idx="7">
                <c:v>7. Services and Daemons</c:v>
              </c:pt>
              <c:pt idx="8">
                <c:v>8. Kernel Hardening</c:v>
              </c:pt>
              <c:pt idx="9">
                <c:v>9. Malware and Intrusion Detection</c:v>
              </c:pt>
            </c:strLit>
          </c:cat>
          <c:val>
            <c:numRef>
              <c:f>Dashboard!$E$8:$E$17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0-4325-BB9E-0899521A4F45}"/>
            </c:ext>
          </c:extLst>
        </c:ser>
        <c:ser>
          <c:idx val="2"/>
          <c:order val="2"/>
          <c:tx>
            <c:strRef>
              <c:f>Dashboard!$F$7</c:f>
              <c:strCache>
                <c:ptCount val="1"/>
                <c:pt idx="0">
                  <c:v>Not Done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0"/>
              <c:pt idx="0">
                <c:v>Security Domain</c:v>
              </c:pt>
              <c:pt idx="1">
                <c:v>1. User and Authentication</c:v>
              </c:pt>
              <c:pt idx="2">
                <c:v>2. SSH Configuration</c:v>
              </c:pt>
              <c:pt idx="3">
                <c:v>3. Firewall and Network</c:v>
              </c:pt>
              <c:pt idx="4">
                <c:v>4. System Updates &amp; Patches</c:v>
              </c:pt>
              <c:pt idx="5">
                <c:v>5. File System and Permissions</c:v>
              </c:pt>
              <c:pt idx="6">
                <c:v>6. Logging and Auditing</c:v>
              </c:pt>
              <c:pt idx="7">
                <c:v>7. Services and Daemons</c:v>
              </c:pt>
              <c:pt idx="8">
                <c:v>8. Kernel Hardening</c:v>
              </c:pt>
              <c:pt idx="9">
                <c:v>9. Malware and Intrusion Detection</c:v>
              </c:pt>
            </c:strLit>
          </c:cat>
          <c:val>
            <c:numRef>
              <c:f>Dashboard!$F$8:$F$17</c:f>
              <c:numCache>
                <c:formatCode>General</c:formatCode>
                <c:ptCount val="10"/>
                <c:pt idx="0">
                  <c:v>11</c:v>
                </c:pt>
                <c:pt idx="1">
                  <c:v>7</c:v>
                </c:pt>
                <c:pt idx="2">
                  <c:v>3</c:v>
                </c:pt>
                <c:pt idx="3">
                  <c:v>0</c:v>
                </c:pt>
                <c:pt idx="4">
                  <c:v>4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5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F0-4325-BB9E-0899521A4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01761"/>
        <c:axId val="74949889"/>
      </c:barChart>
      <c:catAx>
        <c:axId val="950176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949889"/>
        <c:crosses val="autoZero"/>
        <c:auto val="1"/>
        <c:lblAlgn val="ctr"/>
        <c:lblOffset val="100"/>
        <c:noMultiLvlLbl val="0"/>
      </c:catAx>
      <c:valAx>
        <c:axId val="74949889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5017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Overall Security Posture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A-CA3F-4D38-B3FA-06E52EA14C11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</c:spPr>
            <c:extLst>
              <c:ext xmlns:c16="http://schemas.microsoft.com/office/drawing/2014/chart" uri="{C3380CC4-5D6E-409C-BE32-E72D297353CC}">
                <c16:uniqueId val="{0000000B-CA3F-4D38-B3FA-06E52EA14C11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C-CA3F-4D38-B3FA-06E52EA14C11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Dashboard!$B$22:$B$24</c:f>
              <c:strCache>
                <c:ptCount val="3"/>
                <c:pt idx="0">
                  <c:v>Completed</c:v>
                </c:pt>
                <c:pt idx="1">
                  <c:v>In Progress</c:v>
                </c:pt>
                <c:pt idx="2">
                  <c:v>Not Done</c:v>
                </c:pt>
              </c:strCache>
            </c:strRef>
          </c:cat>
          <c:val>
            <c:numRef>
              <c:f>Dashboard!$C$22:$C$24</c:f>
              <c:numCache>
                <c:formatCode>General</c:formatCode>
                <c:ptCount val="3"/>
                <c:pt idx="0">
                  <c:v>32</c:v>
                </c:pt>
                <c:pt idx="1">
                  <c:v>34</c:v>
                </c:pt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3F-4D38-B3FA-06E52EA14C1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 rtl="0"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ysClr val="windowText" lastClr="000000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54429</xdr:colOff>
      <xdr:row>6</xdr:row>
      <xdr:rowOff>26594</xdr:rowOff>
    </xdr:from>
    <xdr:to>
      <xdr:col>16</xdr:col>
      <xdr:colOff>364022</xdr:colOff>
      <xdr:row>18</xdr:row>
      <xdr:rowOff>72571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C9B54B-D8DA-4430-BE17-29AF8D229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16</xdr:col>
      <xdr:colOff>425663</xdr:colOff>
      <xdr:row>6</xdr:row>
      <xdr:rowOff>18143</xdr:rowOff>
    </xdr:from>
    <xdr:to>
      <xdr:col>21</xdr:col>
      <xdr:colOff>508000</xdr:colOff>
      <xdr:row>18</xdr:row>
      <xdr:rowOff>90714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955CC2-6268-4CA1-B88A-C7D77112D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B2:F5" totalsRowShown="0" headerRowDxfId="8" headerRowBorderDxfId="7" tableBorderDxfId="6" totalsRowBorderDxfId="5">
  <autoFilter ref="B2:F5" xr:uid="{00000000-0009-0000-0100-000001000000}"/>
  <tableColumns count="5">
    <tableColumn id="1" xr3:uid="{00000000-0010-0000-0000-000001000000}" name="No " dataDxfId="4"/>
    <tableColumn id="2" xr3:uid="{00000000-0010-0000-0000-000002000000}" name="Server list" dataDxfId="3"/>
    <tableColumn id="3" xr3:uid="{00000000-0010-0000-0000-000003000000}" name="IP Address" dataDxfId="2"/>
    <tableColumn id="5" xr3:uid="{00000000-0010-0000-0000-000005000000}" name="Description" dataDxfId="1"/>
    <tableColumn id="6" xr3:uid="{00000000-0010-0000-0000-000006000000}" name="Purpos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showGridLines="0" tabSelected="1" view="pageBreakPreview" zoomScale="70" zoomScaleNormal="100" zoomScaleSheetLayoutView="70" workbookViewId="0">
      <selection activeCell="J26" sqref="J26"/>
    </sheetView>
  </sheetViews>
  <sheetFormatPr defaultRowHeight="14.5"/>
  <cols>
    <col min="1" max="1" width="1.26953125" style="37" customWidth="1"/>
    <col min="2" max="2" width="30" style="37" customWidth="1"/>
    <col min="3" max="3" width="12.7265625" style="37" bestFit="1" customWidth="1"/>
    <col min="4" max="4" width="10.7265625" style="37" bestFit="1" customWidth="1"/>
    <col min="5" max="5" width="11.36328125" style="37" bestFit="1" customWidth="1"/>
    <col min="6" max="6" width="11.6328125" style="37" customWidth="1"/>
    <col min="7" max="7" width="12" style="58" customWidth="1"/>
    <col min="8" max="8" width="7" style="37" customWidth="1"/>
  </cols>
  <sheetData>
    <row r="1" spans="2:22" ht="38.5" customHeight="1">
      <c r="B1" s="79" t="s">
        <v>0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</row>
    <row r="2" spans="2:22" ht="22" customHeight="1">
      <c r="B2" s="80" t="s">
        <v>1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</row>
    <row r="3" spans="2:22" s="2" customFormat="1" ht="7" customHeight="1"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4"/>
      <c r="Q3" s="74"/>
      <c r="R3" s="74"/>
      <c r="S3" s="74"/>
      <c r="T3" s="74"/>
      <c r="U3" s="74"/>
      <c r="V3" s="74"/>
    </row>
    <row r="4" spans="2:22" s="37" customFormat="1" ht="22" customHeight="1">
      <c r="B4" s="81" t="s">
        <v>467</v>
      </c>
      <c r="C4" s="81"/>
      <c r="D4" s="81"/>
      <c r="E4" s="87" t="s">
        <v>468</v>
      </c>
      <c r="F4" s="88"/>
      <c r="G4" s="89"/>
      <c r="H4" s="90" t="s">
        <v>469</v>
      </c>
      <c r="I4" s="91"/>
      <c r="J4" s="91"/>
      <c r="K4" s="92"/>
      <c r="L4" s="82" t="s">
        <v>470</v>
      </c>
      <c r="M4" s="82"/>
      <c r="N4" s="82"/>
      <c r="O4" s="82"/>
      <c r="P4" s="76"/>
      <c r="Q4" s="95" t="s">
        <v>472</v>
      </c>
      <c r="R4" s="95"/>
      <c r="S4" s="95"/>
      <c r="T4" s="95"/>
      <c r="U4" s="95"/>
      <c r="V4" s="95"/>
    </row>
    <row r="5" spans="2:22" s="37" customFormat="1" ht="22" customHeight="1">
      <c r="B5" s="83">
        <f>SUM(C8:C17)</f>
        <v>108</v>
      </c>
      <c r="C5" s="83"/>
      <c r="D5" s="83"/>
      <c r="E5" s="84">
        <f>SUM(D8:D17)</f>
        <v>32</v>
      </c>
      <c r="F5" s="85"/>
      <c r="G5" s="86"/>
      <c r="H5" s="93">
        <f>SUM(E8:E17)</f>
        <v>34</v>
      </c>
      <c r="I5" s="94"/>
      <c r="J5" s="94"/>
      <c r="K5" s="94"/>
      <c r="L5" s="77">
        <f>SUM(F8:F17)</f>
        <v>42</v>
      </c>
      <c r="M5" s="77"/>
      <c r="N5" s="77"/>
      <c r="O5" s="77"/>
      <c r="P5" s="76"/>
      <c r="Q5" s="95"/>
      <c r="R5" s="95"/>
      <c r="S5" s="95"/>
      <c r="T5" s="95"/>
      <c r="U5" s="95"/>
      <c r="V5" s="95"/>
    </row>
    <row r="6" spans="2:22" ht="20" customHeight="1"/>
    <row r="7" spans="2:22" ht="28" customHeight="1">
      <c r="B7" s="62" t="s">
        <v>2</v>
      </c>
      <c r="C7" s="62" t="s">
        <v>3</v>
      </c>
      <c r="D7" s="62" t="s">
        <v>4</v>
      </c>
      <c r="E7" s="62" t="s">
        <v>5</v>
      </c>
      <c r="F7" s="62" t="s">
        <v>6</v>
      </c>
      <c r="G7" s="63" t="s">
        <v>471</v>
      </c>
    </row>
    <row r="8" spans="2:22" ht="22" customHeight="1">
      <c r="B8" s="6" t="s">
        <v>7</v>
      </c>
      <c r="C8" s="38">
        <v>18</v>
      </c>
      <c r="D8" s="57">
        <v>5</v>
      </c>
      <c r="E8" s="56">
        <v>2</v>
      </c>
      <c r="F8" s="55">
        <v>11</v>
      </c>
      <c r="G8" s="59">
        <f t="shared" ref="G8:G18" si="0">D8/C8</f>
        <v>0.27777777777777779</v>
      </c>
    </row>
    <row r="9" spans="2:22" ht="22" customHeight="1">
      <c r="B9" s="6" t="s">
        <v>8</v>
      </c>
      <c r="C9" s="38">
        <v>12</v>
      </c>
      <c r="D9" s="57">
        <v>2</v>
      </c>
      <c r="E9" s="56">
        <v>3</v>
      </c>
      <c r="F9" s="55">
        <v>7</v>
      </c>
      <c r="G9" s="60">
        <f t="shared" si="0"/>
        <v>0.16666666666666666</v>
      </c>
    </row>
    <row r="10" spans="2:22" ht="22" customHeight="1">
      <c r="B10" s="6" t="s">
        <v>9</v>
      </c>
      <c r="C10" s="38">
        <v>14</v>
      </c>
      <c r="D10" s="57">
        <v>6</v>
      </c>
      <c r="E10" s="56">
        <v>5</v>
      </c>
      <c r="F10" s="55">
        <v>3</v>
      </c>
      <c r="G10" s="59">
        <f t="shared" si="0"/>
        <v>0.42857142857142855</v>
      </c>
    </row>
    <row r="11" spans="2:22" ht="22" customHeight="1">
      <c r="B11" s="6" t="s">
        <v>10</v>
      </c>
      <c r="C11" s="38">
        <v>8</v>
      </c>
      <c r="D11" s="57">
        <v>3</v>
      </c>
      <c r="E11" s="56">
        <v>5</v>
      </c>
      <c r="F11" s="55">
        <v>0</v>
      </c>
      <c r="G11" s="60">
        <f t="shared" si="0"/>
        <v>0.375</v>
      </c>
    </row>
    <row r="12" spans="2:22" ht="22" customHeight="1">
      <c r="B12" s="6" t="s">
        <v>11</v>
      </c>
      <c r="C12" s="38">
        <v>12</v>
      </c>
      <c r="D12" s="57">
        <v>2</v>
      </c>
      <c r="E12" s="56">
        <v>6</v>
      </c>
      <c r="F12" s="55">
        <v>4</v>
      </c>
      <c r="G12" s="59">
        <f t="shared" si="0"/>
        <v>0.16666666666666666</v>
      </c>
    </row>
    <row r="13" spans="2:22" ht="22" customHeight="1">
      <c r="B13" s="6" t="s">
        <v>12</v>
      </c>
      <c r="C13" s="38">
        <v>10</v>
      </c>
      <c r="D13" s="57">
        <v>2</v>
      </c>
      <c r="E13" s="56">
        <v>4</v>
      </c>
      <c r="F13" s="55">
        <v>4</v>
      </c>
      <c r="G13" s="60">
        <f t="shared" si="0"/>
        <v>0.2</v>
      </c>
    </row>
    <row r="14" spans="2:22" ht="22" customHeight="1">
      <c r="B14" s="6" t="s">
        <v>13</v>
      </c>
      <c r="C14" s="38">
        <v>10</v>
      </c>
      <c r="D14" s="57">
        <v>6</v>
      </c>
      <c r="E14" s="56">
        <v>4</v>
      </c>
      <c r="F14" s="55">
        <v>0</v>
      </c>
      <c r="G14" s="59">
        <f t="shared" si="0"/>
        <v>0.6</v>
      </c>
    </row>
    <row r="15" spans="2:22" ht="22" customHeight="1">
      <c r="B15" s="6" t="s">
        <v>14</v>
      </c>
      <c r="C15" s="38">
        <v>9</v>
      </c>
      <c r="D15" s="57">
        <v>4</v>
      </c>
      <c r="E15" s="56">
        <v>4</v>
      </c>
      <c r="F15" s="55">
        <v>1</v>
      </c>
      <c r="G15" s="60">
        <f t="shared" si="0"/>
        <v>0.44444444444444442</v>
      </c>
    </row>
    <row r="16" spans="2:22" ht="22" customHeight="1">
      <c r="B16" s="6" t="s">
        <v>15</v>
      </c>
      <c r="C16" s="38">
        <v>8</v>
      </c>
      <c r="D16" s="57">
        <v>2</v>
      </c>
      <c r="E16" s="56">
        <v>1</v>
      </c>
      <c r="F16" s="55">
        <v>5</v>
      </c>
      <c r="G16" s="59">
        <f t="shared" si="0"/>
        <v>0.25</v>
      </c>
    </row>
    <row r="17" spans="2:7" ht="22" customHeight="1">
      <c r="B17" s="6" t="s">
        <v>16</v>
      </c>
      <c r="C17" s="38">
        <v>7</v>
      </c>
      <c r="D17" s="57">
        <v>0</v>
      </c>
      <c r="E17" s="56">
        <v>0</v>
      </c>
      <c r="F17" s="55">
        <v>7</v>
      </c>
      <c r="G17" s="60">
        <f t="shared" si="0"/>
        <v>0</v>
      </c>
    </row>
    <row r="18" spans="2:7" ht="28" customHeight="1">
      <c r="B18" s="78" t="s">
        <v>17</v>
      </c>
      <c r="C18" s="39">
        <v>108</v>
      </c>
      <c r="D18" s="39">
        <v>32</v>
      </c>
      <c r="E18" s="39">
        <v>34</v>
      </c>
      <c r="F18" s="39">
        <v>42</v>
      </c>
      <c r="G18" s="61">
        <f t="shared" si="0"/>
        <v>0.29629629629629628</v>
      </c>
    </row>
    <row r="21" spans="2:7">
      <c r="B21" s="37" t="s">
        <v>92</v>
      </c>
      <c r="C21" s="37" t="s">
        <v>465</v>
      </c>
      <c r="E21" s="103" t="s">
        <v>478</v>
      </c>
      <c r="G21" s="75"/>
    </row>
    <row r="22" spans="2:7">
      <c r="B22" s="37" t="s">
        <v>4</v>
      </c>
      <c r="C22" s="37">
        <f>D18</f>
        <v>32</v>
      </c>
      <c r="E22" s="104" t="s">
        <v>473</v>
      </c>
      <c r="G22" s="75"/>
    </row>
    <row r="23" spans="2:7">
      <c r="B23" s="37" t="s">
        <v>466</v>
      </c>
      <c r="C23" s="37">
        <f>E18</f>
        <v>34</v>
      </c>
      <c r="E23" s="105" t="s">
        <v>474</v>
      </c>
      <c r="G23" s="75"/>
    </row>
    <row r="24" spans="2:7">
      <c r="B24" s="37" t="s">
        <v>6</v>
      </c>
      <c r="C24" s="37">
        <f>F18</f>
        <v>42</v>
      </c>
      <c r="E24" s="105" t="s">
        <v>475</v>
      </c>
      <c r="G24" s="75"/>
    </row>
    <row r="25" spans="2:7">
      <c r="E25" s="105" t="s">
        <v>476</v>
      </c>
    </row>
    <row r="26" spans="2:7">
      <c r="E26" s="104" t="s">
        <v>477</v>
      </c>
    </row>
  </sheetData>
  <mergeCells count="12">
    <mergeCell ref="L5:O5"/>
    <mergeCell ref="B18"/>
    <mergeCell ref="B1:V1"/>
    <mergeCell ref="B2:V2"/>
    <mergeCell ref="B4:D4"/>
    <mergeCell ref="L4:O4"/>
    <mergeCell ref="B5:D5"/>
    <mergeCell ref="E5:G5"/>
    <mergeCell ref="E4:G4"/>
    <mergeCell ref="H4:K4"/>
    <mergeCell ref="H5:K5"/>
    <mergeCell ref="Q4:V5"/>
  </mergeCells>
  <pageMargins left="0.75" right="0.75" top="1" bottom="1" header="0.5" footer="0.5"/>
  <pageSetup scale="4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view="pageBreakPreview" zoomScale="85" zoomScaleNormal="85" zoomScaleSheetLayoutView="85" workbookViewId="0">
      <selection activeCell="E17" sqref="E17"/>
    </sheetView>
  </sheetViews>
  <sheetFormatPr defaultRowHeight="14.5"/>
  <cols>
    <col min="1" max="1" width="6" style="36" bestFit="1" customWidth="1"/>
    <col min="2" max="2" width="12" style="36" bestFit="1" customWidth="1"/>
    <col min="3" max="3" width="22" style="36" bestFit="1" customWidth="1"/>
    <col min="4" max="4" width="32" style="36" bestFit="1" customWidth="1"/>
    <col min="5" max="5" width="45" style="36" bestFit="1" customWidth="1"/>
    <col min="6" max="6" width="48" style="36" bestFit="1" customWidth="1"/>
    <col min="7" max="7" width="8.7265625" style="36" customWidth="1"/>
    <col min="8" max="16384" width="8.7265625" style="36"/>
  </cols>
  <sheetData>
    <row r="1" spans="1:6" ht="19" customHeight="1">
      <c r="A1" s="98" t="s">
        <v>18</v>
      </c>
      <c r="B1" s="97"/>
      <c r="C1" s="97"/>
      <c r="D1" s="97"/>
      <c r="E1" s="97"/>
      <c r="F1" s="97"/>
    </row>
    <row r="2" spans="1:6">
      <c r="A2" s="96" t="s">
        <v>19</v>
      </c>
      <c r="B2" s="97"/>
      <c r="C2" s="97"/>
      <c r="D2" s="97"/>
      <c r="E2" s="97"/>
      <c r="F2" s="97"/>
    </row>
    <row r="4" spans="1:6" ht="26" customHeight="1">
      <c r="A4" s="34" t="s">
        <v>20</v>
      </c>
      <c r="B4" s="35" t="s">
        <v>21</v>
      </c>
      <c r="C4" s="35" t="s">
        <v>22</v>
      </c>
      <c r="D4" s="35" t="s">
        <v>23</v>
      </c>
      <c r="E4" s="35" t="s">
        <v>24</v>
      </c>
      <c r="F4" s="35" t="s">
        <v>25</v>
      </c>
    </row>
    <row r="5" spans="1:6" ht="55" customHeight="1">
      <c r="A5" s="40">
        <v>1</v>
      </c>
      <c r="B5" s="64" t="s">
        <v>26</v>
      </c>
      <c r="C5" s="41" t="s">
        <v>27</v>
      </c>
      <c r="D5" s="41" t="s">
        <v>28</v>
      </c>
      <c r="E5" s="41" t="s">
        <v>29</v>
      </c>
      <c r="F5" s="41" t="s">
        <v>30</v>
      </c>
    </row>
    <row r="6" spans="1:6" ht="55" customHeight="1">
      <c r="A6" s="42">
        <v>2</v>
      </c>
      <c r="B6" s="64" t="s">
        <v>26</v>
      </c>
      <c r="C6" s="43" t="s">
        <v>27</v>
      </c>
      <c r="D6" s="43" t="s">
        <v>31</v>
      </c>
      <c r="E6" s="43" t="s">
        <v>32</v>
      </c>
      <c r="F6" s="43" t="s">
        <v>33</v>
      </c>
    </row>
    <row r="7" spans="1:6" ht="55" customHeight="1">
      <c r="A7" s="40">
        <v>3</v>
      </c>
      <c r="B7" s="64" t="s">
        <v>26</v>
      </c>
      <c r="C7" s="41" t="s">
        <v>27</v>
      </c>
      <c r="D7" s="41" t="s">
        <v>34</v>
      </c>
      <c r="E7" s="41" t="s">
        <v>35</v>
      </c>
      <c r="F7" s="41" t="s">
        <v>36</v>
      </c>
    </row>
    <row r="8" spans="1:6" ht="55" customHeight="1">
      <c r="A8" s="42">
        <v>4</v>
      </c>
      <c r="B8" s="64" t="s">
        <v>26</v>
      </c>
      <c r="C8" s="43" t="s">
        <v>37</v>
      </c>
      <c r="D8" s="43" t="s">
        <v>38</v>
      </c>
      <c r="E8" s="43" t="s">
        <v>39</v>
      </c>
      <c r="F8" s="43" t="s">
        <v>40</v>
      </c>
    </row>
    <row r="9" spans="1:6" ht="55" customHeight="1">
      <c r="A9" s="40">
        <v>5</v>
      </c>
      <c r="B9" s="65" t="s">
        <v>41</v>
      </c>
      <c r="C9" s="41" t="s">
        <v>37</v>
      </c>
      <c r="D9" s="41" t="s">
        <v>42</v>
      </c>
      <c r="E9" s="41" t="s">
        <v>43</v>
      </c>
      <c r="F9" s="41" t="s">
        <v>44</v>
      </c>
    </row>
    <row r="10" spans="1:6" ht="55" customHeight="1">
      <c r="A10" s="42">
        <v>6</v>
      </c>
      <c r="B10" s="65" t="s">
        <v>41</v>
      </c>
      <c r="C10" s="43" t="s">
        <v>37</v>
      </c>
      <c r="D10" s="43" t="s">
        <v>45</v>
      </c>
      <c r="E10" s="43" t="s">
        <v>46</v>
      </c>
      <c r="F10" s="43" t="s">
        <v>47</v>
      </c>
    </row>
    <row r="11" spans="1:6" ht="55" customHeight="1">
      <c r="A11" s="40">
        <v>7</v>
      </c>
      <c r="B11" s="65" t="s">
        <v>41</v>
      </c>
      <c r="C11" s="41" t="s">
        <v>48</v>
      </c>
      <c r="D11" s="41" t="s">
        <v>49</v>
      </c>
      <c r="E11" s="41" t="s">
        <v>50</v>
      </c>
      <c r="F11" s="41" t="s">
        <v>51</v>
      </c>
    </row>
    <row r="12" spans="1:6" ht="55" customHeight="1">
      <c r="A12" s="42">
        <v>8</v>
      </c>
      <c r="B12" s="65" t="s">
        <v>41</v>
      </c>
      <c r="C12" s="43" t="s">
        <v>52</v>
      </c>
      <c r="D12" s="43" t="s">
        <v>53</v>
      </c>
      <c r="E12" s="43" t="s">
        <v>54</v>
      </c>
      <c r="F12" s="43" t="s">
        <v>55</v>
      </c>
    </row>
    <row r="13" spans="1:6" ht="55" customHeight="1">
      <c r="A13" s="40">
        <v>9</v>
      </c>
      <c r="B13" s="65" t="s">
        <v>41</v>
      </c>
      <c r="C13" s="41" t="s">
        <v>56</v>
      </c>
      <c r="D13" s="41" t="s">
        <v>57</v>
      </c>
      <c r="E13" s="41" t="s">
        <v>58</v>
      </c>
      <c r="F13" s="41" t="s">
        <v>59</v>
      </c>
    </row>
    <row r="14" spans="1:6" ht="55" customHeight="1">
      <c r="A14" s="42">
        <v>10</v>
      </c>
      <c r="B14" s="65" t="s">
        <v>41</v>
      </c>
      <c r="C14" s="43" t="s">
        <v>56</v>
      </c>
      <c r="D14" s="43" t="s">
        <v>60</v>
      </c>
      <c r="E14" s="43" t="s">
        <v>61</v>
      </c>
      <c r="F14" s="43" t="s">
        <v>62</v>
      </c>
    </row>
    <row r="15" spans="1:6" ht="55" customHeight="1">
      <c r="A15" s="40">
        <v>11</v>
      </c>
      <c r="B15" s="65" t="s">
        <v>41</v>
      </c>
      <c r="C15" s="41" t="s">
        <v>63</v>
      </c>
      <c r="D15" s="41" t="s">
        <v>64</v>
      </c>
      <c r="E15" s="41" t="s">
        <v>65</v>
      </c>
      <c r="F15" s="41" t="s">
        <v>66</v>
      </c>
    </row>
    <row r="16" spans="1:6" ht="55" customHeight="1">
      <c r="A16" s="42">
        <v>12</v>
      </c>
      <c r="B16" s="65" t="s">
        <v>41</v>
      </c>
      <c r="C16" s="43" t="s">
        <v>67</v>
      </c>
      <c r="D16" s="43" t="s">
        <v>68</v>
      </c>
      <c r="E16" s="43" t="s">
        <v>69</v>
      </c>
      <c r="F16" s="43" t="s">
        <v>70</v>
      </c>
    </row>
    <row r="17" spans="1:6" ht="55" customHeight="1">
      <c r="A17" s="40">
        <v>13</v>
      </c>
      <c r="B17" s="65" t="s">
        <v>41</v>
      </c>
      <c r="C17" s="41" t="s">
        <v>71</v>
      </c>
      <c r="D17" s="41" t="s">
        <v>72</v>
      </c>
      <c r="E17" s="41" t="s">
        <v>73</v>
      </c>
      <c r="F17" s="41" t="s">
        <v>74</v>
      </c>
    </row>
    <row r="18" spans="1:6" ht="55" customHeight="1">
      <c r="A18" s="42">
        <v>14</v>
      </c>
      <c r="B18" s="66" t="s">
        <v>75</v>
      </c>
      <c r="C18" s="43" t="s">
        <v>67</v>
      </c>
      <c r="D18" s="43" t="s">
        <v>76</v>
      </c>
      <c r="E18" s="43" t="s">
        <v>77</v>
      </c>
      <c r="F18" s="43" t="s">
        <v>78</v>
      </c>
    </row>
    <row r="19" spans="1:6" ht="55" customHeight="1">
      <c r="A19" s="40">
        <v>15</v>
      </c>
      <c r="B19" s="66" t="s">
        <v>75</v>
      </c>
      <c r="C19" s="41" t="s">
        <v>79</v>
      </c>
      <c r="D19" s="41" t="s">
        <v>80</v>
      </c>
      <c r="E19" s="41" t="s">
        <v>81</v>
      </c>
      <c r="F19" s="41" t="s">
        <v>82</v>
      </c>
    </row>
    <row r="20" spans="1:6" ht="55" customHeight="1">
      <c r="A20" s="44">
        <v>16</v>
      </c>
      <c r="B20" s="67" t="s">
        <v>83</v>
      </c>
      <c r="C20" s="45" t="s">
        <v>56</v>
      </c>
      <c r="D20" s="45" t="s">
        <v>84</v>
      </c>
      <c r="E20" s="45" t="s">
        <v>85</v>
      </c>
      <c r="F20" s="45" t="s">
        <v>86</v>
      </c>
    </row>
  </sheetData>
  <mergeCells count="2">
    <mergeCell ref="A2:F2"/>
    <mergeCell ref="A1:F1"/>
  </mergeCells>
  <pageMargins left="0.7" right="0.7" top="0.75" bottom="0.75" header="0.3" footer="0.3"/>
  <pageSetup scale="97" orientation="portrait" r:id="rId1"/>
  <rowBreaks count="1" manualBreakCount="1">
    <brk id="13" max="16383" man="1"/>
  </rowBreaks>
  <colBreaks count="1" manualBreakCount="1">
    <brk id="4" max="1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showGridLines="0" view="pageBreakPreview" zoomScale="85" zoomScaleNormal="100" zoomScaleSheetLayoutView="85" workbookViewId="0">
      <pane xSplit="1" ySplit="2" topLeftCell="B5" activePane="bottomRight" state="frozen"/>
      <selection pane="topRight"/>
      <selection pane="bottomLeft"/>
      <selection pane="bottomRight" activeCell="G3" sqref="G3"/>
    </sheetView>
  </sheetViews>
  <sheetFormatPr defaultRowHeight="14.5"/>
  <cols>
    <col min="1" max="1" width="4" style="2" customWidth="1"/>
    <col min="2" max="2" width="6" style="37" customWidth="1"/>
    <col min="3" max="3" width="14" style="37" customWidth="1"/>
    <col min="4" max="4" width="18" style="37" customWidth="1"/>
    <col min="5" max="5" width="38" style="37" customWidth="1"/>
    <col min="6" max="6" width="40.1796875" style="37" customWidth="1"/>
    <col min="7" max="7" width="16" style="37" customWidth="1"/>
    <col min="8" max="8" width="51.453125" style="37" customWidth="1"/>
    <col min="9" max="9" width="4" style="37" customWidth="1"/>
  </cols>
  <sheetData>
    <row r="1" spans="1:8" ht="40" customHeight="1" thickBot="1">
      <c r="B1" s="99" t="s">
        <v>87</v>
      </c>
      <c r="C1" s="100"/>
      <c r="D1" s="100"/>
      <c r="E1" s="100"/>
      <c r="F1" s="100"/>
      <c r="G1" s="100"/>
      <c r="H1" s="100"/>
    </row>
    <row r="2" spans="1:8" ht="28" customHeight="1" thickBot="1">
      <c r="B2" s="1" t="s">
        <v>88</v>
      </c>
      <c r="C2" s="1" t="s">
        <v>21</v>
      </c>
      <c r="D2" s="1" t="s">
        <v>89</v>
      </c>
      <c r="E2" s="1" t="s">
        <v>90</v>
      </c>
      <c r="F2" s="1" t="s">
        <v>91</v>
      </c>
      <c r="G2" s="1" t="s">
        <v>92</v>
      </c>
      <c r="H2" s="1" t="s">
        <v>93</v>
      </c>
    </row>
    <row r="3" spans="1:8" ht="44" customHeight="1">
      <c r="A3" s="3"/>
      <c r="B3" s="17">
        <v>1</v>
      </c>
      <c r="C3" s="18" t="s">
        <v>26</v>
      </c>
      <c r="D3" s="18" t="s">
        <v>94</v>
      </c>
      <c r="E3" s="18" t="s">
        <v>95</v>
      </c>
      <c r="F3" s="18" t="s">
        <v>96</v>
      </c>
      <c r="G3" s="71" t="s">
        <v>6</v>
      </c>
      <c r="H3" s="47" t="s">
        <v>97</v>
      </c>
    </row>
    <row r="4" spans="1:8" ht="53" customHeight="1">
      <c r="B4" s="17">
        <v>2</v>
      </c>
      <c r="C4" s="18" t="s">
        <v>26</v>
      </c>
      <c r="D4" s="18" t="s">
        <v>94</v>
      </c>
      <c r="E4" s="18" t="s">
        <v>98</v>
      </c>
      <c r="F4" s="18" t="s">
        <v>99</v>
      </c>
      <c r="G4" s="71" t="s">
        <v>6</v>
      </c>
      <c r="H4" s="47" t="s">
        <v>100</v>
      </c>
    </row>
    <row r="5" spans="1:8" ht="37" customHeight="1">
      <c r="A5" s="3"/>
      <c r="B5" s="17">
        <v>3</v>
      </c>
      <c r="C5" s="18" t="s">
        <v>26</v>
      </c>
      <c r="D5" s="18" t="s">
        <v>94</v>
      </c>
      <c r="E5" s="18" t="s">
        <v>101</v>
      </c>
      <c r="F5" s="18" t="s">
        <v>102</v>
      </c>
      <c r="G5" s="71" t="s">
        <v>6</v>
      </c>
      <c r="H5" s="47" t="s">
        <v>103</v>
      </c>
    </row>
    <row r="6" spans="1:8" ht="34" customHeight="1">
      <c r="B6" s="17">
        <v>4</v>
      </c>
      <c r="C6" s="18" t="s">
        <v>26</v>
      </c>
      <c r="D6" s="18" t="s">
        <v>94</v>
      </c>
      <c r="E6" s="18" t="s">
        <v>104</v>
      </c>
      <c r="F6" s="18" t="s">
        <v>105</v>
      </c>
      <c r="G6" s="71" t="s">
        <v>6</v>
      </c>
      <c r="H6" s="47" t="s">
        <v>106</v>
      </c>
    </row>
    <row r="7" spans="1:8" ht="29" customHeight="1">
      <c r="B7" s="32">
        <v>5</v>
      </c>
      <c r="C7" s="18" t="s">
        <v>41</v>
      </c>
      <c r="D7" s="19" t="s">
        <v>94</v>
      </c>
      <c r="E7" s="19" t="s">
        <v>107</v>
      </c>
      <c r="F7" s="19" t="s">
        <v>108</v>
      </c>
      <c r="G7" s="71" t="s">
        <v>6</v>
      </c>
      <c r="H7" s="47" t="s">
        <v>109</v>
      </c>
    </row>
    <row r="8" spans="1:8" ht="37" customHeight="1">
      <c r="B8" s="32">
        <v>6</v>
      </c>
      <c r="C8" s="18" t="s">
        <v>41</v>
      </c>
      <c r="D8" s="19" t="s">
        <v>94</v>
      </c>
      <c r="E8" s="19" t="s">
        <v>110</v>
      </c>
      <c r="F8" s="19" t="s">
        <v>111</v>
      </c>
      <c r="G8" s="71" t="s">
        <v>6</v>
      </c>
      <c r="H8" s="47" t="s">
        <v>112</v>
      </c>
    </row>
    <row r="9" spans="1:8" ht="41" customHeight="1">
      <c r="A9" s="3"/>
      <c r="B9" s="17">
        <v>7</v>
      </c>
      <c r="C9" s="18" t="s">
        <v>41</v>
      </c>
      <c r="D9" s="18" t="s">
        <v>94</v>
      </c>
      <c r="E9" s="18" t="s">
        <v>113</v>
      </c>
      <c r="F9" s="18" t="s">
        <v>114</v>
      </c>
      <c r="G9" s="71" t="s">
        <v>6</v>
      </c>
      <c r="H9" s="47" t="s">
        <v>115</v>
      </c>
    </row>
    <row r="10" spans="1:8" ht="51" customHeight="1">
      <c r="B10" s="17">
        <v>8</v>
      </c>
      <c r="C10" s="18" t="s">
        <v>41</v>
      </c>
      <c r="D10" s="18" t="s">
        <v>94</v>
      </c>
      <c r="E10" s="18" t="s">
        <v>116</v>
      </c>
      <c r="F10" s="18" t="s">
        <v>117</v>
      </c>
      <c r="G10" s="72" t="s">
        <v>6</v>
      </c>
      <c r="H10" s="47" t="s">
        <v>118</v>
      </c>
    </row>
    <row r="11" spans="1:8" ht="49" customHeight="1">
      <c r="A11" s="3"/>
      <c r="B11" s="17">
        <v>9</v>
      </c>
      <c r="C11" s="18" t="s">
        <v>41</v>
      </c>
      <c r="D11" s="18" t="s">
        <v>119</v>
      </c>
      <c r="E11" s="18" t="s">
        <v>120</v>
      </c>
      <c r="F11" s="18" t="s">
        <v>121</v>
      </c>
      <c r="G11" s="48" t="s">
        <v>122</v>
      </c>
      <c r="H11" s="47" t="s">
        <v>123</v>
      </c>
    </row>
    <row r="12" spans="1:8" ht="52" customHeight="1">
      <c r="B12" s="17">
        <v>10</v>
      </c>
      <c r="C12" s="18" t="s">
        <v>41</v>
      </c>
      <c r="D12" s="18" t="s">
        <v>119</v>
      </c>
      <c r="E12" s="18" t="s">
        <v>124</v>
      </c>
      <c r="F12" s="18" t="s">
        <v>125</v>
      </c>
      <c r="G12" s="49" t="s">
        <v>5</v>
      </c>
      <c r="H12" s="47" t="s">
        <v>126</v>
      </c>
    </row>
    <row r="13" spans="1:8" ht="24" customHeight="1">
      <c r="B13" s="17">
        <v>11</v>
      </c>
      <c r="C13" s="18" t="s">
        <v>75</v>
      </c>
      <c r="D13" s="18" t="s">
        <v>94</v>
      </c>
      <c r="E13" s="18" t="s">
        <v>127</v>
      </c>
      <c r="F13" s="18" t="s">
        <v>128</v>
      </c>
      <c r="G13" s="48" t="s">
        <v>122</v>
      </c>
      <c r="H13" s="47" t="s">
        <v>129</v>
      </c>
    </row>
    <row r="14" spans="1:8" ht="15" customHeight="1">
      <c r="B14" s="17">
        <v>12</v>
      </c>
      <c r="C14" s="18" t="s">
        <v>75</v>
      </c>
      <c r="D14" s="18" t="s">
        <v>94</v>
      </c>
      <c r="E14" s="18" t="s">
        <v>130</v>
      </c>
      <c r="F14" s="18" t="s">
        <v>131</v>
      </c>
      <c r="G14" s="48" t="s">
        <v>122</v>
      </c>
      <c r="H14" s="47" t="s">
        <v>132</v>
      </c>
    </row>
    <row r="15" spans="1:8" ht="31.5" customHeight="1">
      <c r="B15" s="17">
        <v>13</v>
      </c>
      <c r="C15" s="18" t="s">
        <v>75</v>
      </c>
      <c r="D15" s="18" t="s">
        <v>94</v>
      </c>
      <c r="E15" s="18" t="s">
        <v>133</v>
      </c>
      <c r="F15" s="18" t="s">
        <v>134</v>
      </c>
      <c r="G15" s="48" t="s">
        <v>122</v>
      </c>
      <c r="H15" s="47" t="s">
        <v>135</v>
      </c>
    </row>
    <row r="16" spans="1:8" ht="67" customHeight="1">
      <c r="B16" s="17">
        <v>14</v>
      </c>
      <c r="C16" s="18" t="s">
        <v>75</v>
      </c>
      <c r="D16" s="18" t="s">
        <v>94</v>
      </c>
      <c r="E16" s="18" t="s">
        <v>136</v>
      </c>
      <c r="F16" s="18" t="s">
        <v>137</v>
      </c>
      <c r="G16" s="49" t="s">
        <v>5</v>
      </c>
      <c r="H16" s="47" t="s">
        <v>138</v>
      </c>
    </row>
    <row r="17" spans="2:8" ht="31" customHeight="1">
      <c r="B17" s="17">
        <v>15</v>
      </c>
      <c r="C17" s="18" t="s">
        <v>75</v>
      </c>
      <c r="D17" s="18" t="s">
        <v>139</v>
      </c>
      <c r="E17" s="18" t="s">
        <v>140</v>
      </c>
      <c r="F17" s="18" t="s">
        <v>141</v>
      </c>
      <c r="G17" s="48" t="s">
        <v>122</v>
      </c>
      <c r="H17" s="47" t="s">
        <v>142</v>
      </c>
    </row>
    <row r="18" spans="2:8" ht="50" customHeight="1">
      <c r="B18" s="17">
        <v>16</v>
      </c>
      <c r="C18" s="18" t="s">
        <v>75</v>
      </c>
      <c r="D18" s="18" t="s">
        <v>139</v>
      </c>
      <c r="E18" s="18" t="s">
        <v>143</v>
      </c>
      <c r="F18" s="18" t="s">
        <v>144</v>
      </c>
      <c r="G18" s="71" t="s">
        <v>6</v>
      </c>
      <c r="H18" s="47" t="s">
        <v>145</v>
      </c>
    </row>
    <row r="19" spans="2:8" ht="37" customHeight="1">
      <c r="B19" s="17">
        <v>17</v>
      </c>
      <c r="C19" s="18" t="s">
        <v>83</v>
      </c>
      <c r="D19" s="18" t="s">
        <v>94</v>
      </c>
      <c r="E19" s="18" t="s">
        <v>146</v>
      </c>
      <c r="F19" s="18" t="s">
        <v>147</v>
      </c>
      <c r="G19" s="71" t="s">
        <v>6</v>
      </c>
      <c r="H19" s="47" t="s">
        <v>148</v>
      </c>
    </row>
    <row r="20" spans="2:8" ht="37" customHeight="1">
      <c r="B20" s="17">
        <v>18</v>
      </c>
      <c r="C20" s="18" t="s">
        <v>83</v>
      </c>
      <c r="D20" s="18" t="s">
        <v>94</v>
      </c>
      <c r="E20" s="18" t="s">
        <v>149</v>
      </c>
      <c r="F20" s="18" t="s">
        <v>150</v>
      </c>
      <c r="G20" s="71" t="s">
        <v>6</v>
      </c>
      <c r="H20" s="47" t="s">
        <v>151</v>
      </c>
    </row>
  </sheetData>
  <autoFilter ref="B2:H20" xr:uid="{00000000-0001-0000-0200-000000000000}"/>
  <mergeCells count="1">
    <mergeCell ref="B1:H1"/>
  </mergeCells>
  <dataValidations count="1">
    <dataValidation type="list" allowBlank="1" sqref="C3:C20" xr:uid="{00000000-0002-0000-0200-000000000000}">
      <formula1>" Critical, High, Medium, Low"</formula1>
    </dataValidation>
  </dataValidations>
  <pageMargins left="0.75" right="0.75" top="1" bottom="1" header="0.5" footer="0.5"/>
  <pageSetup scale="8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showGridLines="0" view="pageBreakPreview" zoomScale="85" zoomScaleNormal="85" zoomScaleSheetLayoutView="85" workbookViewId="0">
      <pane xSplit="1" ySplit="2" topLeftCell="B3" activePane="bottomRight" state="frozen"/>
      <selection pane="topRight"/>
      <selection pane="bottomLeft"/>
      <selection pane="bottomRight" activeCell="B2" sqref="B2"/>
    </sheetView>
  </sheetViews>
  <sheetFormatPr defaultRowHeight="14.5"/>
  <cols>
    <col min="1" max="1" width="4" style="2" customWidth="1"/>
    <col min="2" max="2" width="6" style="37" customWidth="1"/>
    <col min="3" max="3" width="14" style="37" customWidth="1"/>
    <col min="4" max="4" width="18" style="37" customWidth="1"/>
    <col min="5" max="5" width="38" style="37" customWidth="1"/>
    <col min="6" max="6" width="42" style="37" customWidth="1"/>
    <col min="7" max="7" width="16" style="37" customWidth="1"/>
    <col min="8" max="8" width="30" style="37" customWidth="1"/>
    <col min="9" max="9" width="4" style="37" customWidth="1"/>
  </cols>
  <sheetData>
    <row r="1" spans="1:8" ht="40" customHeight="1" thickBot="1">
      <c r="B1" s="101" t="s">
        <v>152</v>
      </c>
      <c r="C1" s="100"/>
      <c r="D1" s="100"/>
      <c r="E1" s="100"/>
      <c r="F1" s="100"/>
      <c r="G1" s="100"/>
      <c r="H1" s="100"/>
    </row>
    <row r="2" spans="1:8" ht="28" customHeight="1" thickBot="1">
      <c r="B2" s="4" t="s">
        <v>88</v>
      </c>
      <c r="C2" s="4" t="s">
        <v>21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ht="52" customHeight="1">
      <c r="A3" s="3"/>
      <c r="B3" s="17">
        <v>1</v>
      </c>
      <c r="C3" s="18" t="s">
        <v>26</v>
      </c>
      <c r="D3" s="18" t="s">
        <v>153</v>
      </c>
      <c r="E3" s="18" t="s">
        <v>154</v>
      </c>
      <c r="F3" s="18" t="s">
        <v>155</v>
      </c>
      <c r="G3" s="49" t="s">
        <v>5</v>
      </c>
      <c r="H3" s="47" t="s">
        <v>156</v>
      </c>
    </row>
    <row r="4" spans="1:8" ht="53" customHeight="1">
      <c r="A4" s="3"/>
      <c r="B4" s="17">
        <v>2</v>
      </c>
      <c r="C4" s="18" t="s">
        <v>26</v>
      </c>
      <c r="D4" s="18" t="s">
        <v>153</v>
      </c>
      <c r="E4" s="18" t="s">
        <v>157</v>
      </c>
      <c r="F4" s="18" t="s">
        <v>158</v>
      </c>
      <c r="G4" s="46" t="s">
        <v>6</v>
      </c>
      <c r="H4" s="47" t="s">
        <v>159</v>
      </c>
    </row>
    <row r="5" spans="1:8" ht="34" customHeight="1">
      <c r="B5" s="17">
        <v>3</v>
      </c>
      <c r="C5" s="18" t="s">
        <v>26</v>
      </c>
      <c r="D5" s="18" t="s">
        <v>153</v>
      </c>
      <c r="E5" s="18" t="s">
        <v>160</v>
      </c>
      <c r="F5" s="18" t="s">
        <v>161</v>
      </c>
      <c r="G5" s="48" t="s">
        <v>122</v>
      </c>
      <c r="H5" s="47" t="s">
        <v>162</v>
      </c>
    </row>
    <row r="6" spans="1:8" ht="53" customHeight="1">
      <c r="A6" s="3"/>
      <c r="B6" s="17">
        <v>4</v>
      </c>
      <c r="C6" s="18" t="s">
        <v>41</v>
      </c>
      <c r="D6" s="18" t="s">
        <v>153</v>
      </c>
      <c r="E6" s="18" t="s">
        <v>163</v>
      </c>
      <c r="F6" s="18" t="s">
        <v>164</v>
      </c>
      <c r="G6" s="46" t="s">
        <v>6</v>
      </c>
      <c r="H6" s="47" t="s">
        <v>165</v>
      </c>
    </row>
    <row r="7" spans="1:8" ht="49" customHeight="1">
      <c r="A7" s="3"/>
      <c r="B7" s="17">
        <v>5</v>
      </c>
      <c r="C7" s="18" t="s">
        <v>41</v>
      </c>
      <c r="D7" s="18" t="s">
        <v>153</v>
      </c>
      <c r="E7" s="18" t="s">
        <v>166</v>
      </c>
      <c r="F7" s="18" t="s">
        <v>167</v>
      </c>
      <c r="G7" s="46" t="s">
        <v>6</v>
      </c>
      <c r="H7" s="47" t="s">
        <v>168</v>
      </c>
    </row>
    <row r="8" spans="1:8" ht="36" customHeight="1">
      <c r="B8" s="32">
        <v>6</v>
      </c>
      <c r="C8" s="18" t="s">
        <v>41</v>
      </c>
      <c r="D8" s="19" t="s">
        <v>153</v>
      </c>
      <c r="E8" s="19" t="s">
        <v>169</v>
      </c>
      <c r="F8" s="19" t="s">
        <v>170</v>
      </c>
      <c r="G8" s="46" t="s">
        <v>6</v>
      </c>
      <c r="H8" s="47" t="s">
        <v>171</v>
      </c>
    </row>
    <row r="9" spans="1:8" ht="28" customHeight="1">
      <c r="B9" s="32">
        <v>7</v>
      </c>
      <c r="C9" s="18" t="s">
        <v>41</v>
      </c>
      <c r="D9" s="19" t="s">
        <v>153</v>
      </c>
      <c r="E9" s="19" t="s">
        <v>172</v>
      </c>
      <c r="F9" s="19" t="s">
        <v>173</v>
      </c>
      <c r="G9" s="48" t="s">
        <v>122</v>
      </c>
      <c r="H9" s="47" t="s">
        <v>174</v>
      </c>
    </row>
    <row r="10" spans="1:8" ht="60" customHeight="1">
      <c r="B10" s="32">
        <v>8</v>
      </c>
      <c r="C10" s="18" t="s">
        <v>41</v>
      </c>
      <c r="D10" s="19" t="s">
        <v>153</v>
      </c>
      <c r="E10" s="19" t="s">
        <v>175</v>
      </c>
      <c r="F10" s="19" t="s">
        <v>176</v>
      </c>
      <c r="G10" s="46" t="s">
        <v>6</v>
      </c>
      <c r="H10" s="47" t="s">
        <v>177</v>
      </c>
    </row>
    <row r="11" spans="1:8" ht="50" customHeight="1">
      <c r="B11" s="32">
        <v>9</v>
      </c>
      <c r="C11" s="18" t="s">
        <v>41</v>
      </c>
      <c r="D11" s="19" t="s">
        <v>178</v>
      </c>
      <c r="E11" s="19" t="s">
        <v>179</v>
      </c>
      <c r="F11" s="19" t="s">
        <v>180</v>
      </c>
      <c r="G11" s="49" t="s">
        <v>5</v>
      </c>
      <c r="H11" s="47" t="s">
        <v>181</v>
      </c>
    </row>
    <row r="12" spans="1:8" ht="50" customHeight="1">
      <c r="B12" s="32">
        <v>10</v>
      </c>
      <c r="C12" s="18" t="s">
        <v>75</v>
      </c>
      <c r="D12" s="19" t="s">
        <v>153</v>
      </c>
      <c r="E12" s="19" t="s">
        <v>182</v>
      </c>
      <c r="F12" s="19" t="s">
        <v>183</v>
      </c>
      <c r="G12" s="46" t="s">
        <v>6</v>
      </c>
      <c r="H12" s="47" t="s">
        <v>184</v>
      </c>
    </row>
    <row r="13" spans="1:8" ht="47" customHeight="1">
      <c r="B13" s="32">
        <v>11</v>
      </c>
      <c r="C13" s="18" t="s">
        <v>75</v>
      </c>
      <c r="D13" s="19" t="s">
        <v>153</v>
      </c>
      <c r="E13" s="19" t="s">
        <v>185</v>
      </c>
      <c r="F13" s="19" t="s">
        <v>186</v>
      </c>
      <c r="G13" s="46" t="s">
        <v>6</v>
      </c>
      <c r="H13" s="47" t="s">
        <v>187</v>
      </c>
    </row>
    <row r="14" spans="1:8" ht="62" customHeight="1">
      <c r="B14" s="32">
        <v>12</v>
      </c>
      <c r="C14" s="18" t="s">
        <v>75</v>
      </c>
      <c r="D14" s="19" t="s">
        <v>153</v>
      </c>
      <c r="E14" s="19" t="s">
        <v>188</v>
      </c>
      <c r="F14" s="19" t="s">
        <v>189</v>
      </c>
      <c r="G14" s="49" t="s">
        <v>5</v>
      </c>
      <c r="H14" s="47" t="s">
        <v>190</v>
      </c>
    </row>
  </sheetData>
  <autoFilter ref="B2:H14" xr:uid="{00000000-0001-0000-0300-000000000000}"/>
  <mergeCells count="1">
    <mergeCell ref="B1:H1"/>
  </mergeCells>
  <dataValidations count="1">
    <dataValidation type="list" allowBlank="1" sqref="C3:C14" xr:uid="{00000000-0002-0000-0300-000000000000}">
      <formula1>" Critical, High, Medium, Low"</formula1>
    </dataValidation>
  </dataValidations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"/>
  <sheetViews>
    <sheetView showGridLines="0" view="pageBreakPreview" zoomScale="85" zoomScaleNormal="100" zoomScaleSheetLayoutView="85" workbookViewId="0">
      <pane xSplit="1" ySplit="2" topLeftCell="B11" activePane="bottomRight" state="frozen"/>
      <selection pane="topRight"/>
      <selection pane="bottomLeft"/>
      <selection pane="bottomRight" activeCell="B2" sqref="B2"/>
    </sheetView>
  </sheetViews>
  <sheetFormatPr defaultRowHeight="14.5"/>
  <cols>
    <col min="1" max="1" width="4" style="2" customWidth="1"/>
    <col min="2" max="2" width="6" style="37" customWidth="1"/>
    <col min="3" max="3" width="14" style="37" customWidth="1"/>
    <col min="4" max="4" width="18" style="37" customWidth="1"/>
    <col min="5" max="5" width="38" style="37" customWidth="1"/>
    <col min="6" max="6" width="42" style="37" customWidth="1"/>
    <col min="7" max="7" width="16" style="37" customWidth="1"/>
    <col min="8" max="8" width="30" style="37" customWidth="1"/>
    <col min="9" max="9" width="4" style="37" customWidth="1"/>
  </cols>
  <sheetData>
    <row r="1" spans="1:8" ht="40" customHeight="1" thickBot="1">
      <c r="B1" s="101" t="s">
        <v>191</v>
      </c>
      <c r="C1" s="100"/>
      <c r="D1" s="100"/>
      <c r="E1" s="100"/>
      <c r="F1" s="100"/>
      <c r="G1" s="100"/>
      <c r="H1" s="100"/>
    </row>
    <row r="2" spans="1:8" ht="28" customHeight="1" thickBot="1">
      <c r="B2" s="4" t="s">
        <v>88</v>
      </c>
      <c r="C2" s="4" t="s">
        <v>21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ht="26" customHeight="1">
      <c r="A3" s="3"/>
      <c r="B3" s="17">
        <v>1</v>
      </c>
      <c r="C3" s="18" t="s">
        <v>26</v>
      </c>
      <c r="D3" s="18" t="s">
        <v>192</v>
      </c>
      <c r="E3" s="18" t="s">
        <v>193</v>
      </c>
      <c r="F3" s="18" t="s">
        <v>194</v>
      </c>
      <c r="G3" s="48" t="s">
        <v>122</v>
      </c>
      <c r="H3" s="47" t="s">
        <v>195</v>
      </c>
    </row>
    <row r="4" spans="1:8" ht="31" customHeight="1">
      <c r="A4" s="3"/>
      <c r="B4" s="17">
        <v>2</v>
      </c>
      <c r="C4" s="18" t="s">
        <v>26</v>
      </c>
      <c r="D4" s="18" t="s">
        <v>192</v>
      </c>
      <c r="E4" s="18" t="s">
        <v>196</v>
      </c>
      <c r="F4" s="18" t="s">
        <v>197</v>
      </c>
      <c r="G4" s="48" t="s">
        <v>122</v>
      </c>
      <c r="H4" s="47" t="s">
        <v>198</v>
      </c>
    </row>
    <row r="5" spans="1:8" ht="74" customHeight="1">
      <c r="A5" s="3"/>
      <c r="B5" s="17">
        <v>3</v>
      </c>
      <c r="C5" s="18" t="s">
        <v>26</v>
      </c>
      <c r="D5" s="18" t="s">
        <v>192</v>
      </c>
      <c r="E5" s="18" t="s">
        <v>199</v>
      </c>
      <c r="F5" s="18" t="s">
        <v>200</v>
      </c>
      <c r="G5" s="49" t="s">
        <v>5</v>
      </c>
      <c r="H5" s="47" t="s">
        <v>201</v>
      </c>
    </row>
    <row r="6" spans="1:8" ht="47" customHeight="1">
      <c r="B6" s="32">
        <v>4</v>
      </c>
      <c r="C6" s="18" t="s">
        <v>41</v>
      </c>
      <c r="D6" s="19" t="s">
        <v>192</v>
      </c>
      <c r="E6" s="19" t="s">
        <v>202</v>
      </c>
      <c r="F6" s="19" t="s">
        <v>203</v>
      </c>
      <c r="G6" s="49" t="s">
        <v>5</v>
      </c>
      <c r="H6" s="47" t="s">
        <v>204</v>
      </c>
    </row>
    <row r="7" spans="1:8" ht="53" customHeight="1">
      <c r="B7" s="32">
        <v>5</v>
      </c>
      <c r="C7" s="18" t="s">
        <v>41</v>
      </c>
      <c r="D7" s="19" t="s">
        <v>205</v>
      </c>
      <c r="E7" s="19" t="s">
        <v>206</v>
      </c>
      <c r="F7" s="19" t="s">
        <v>207</v>
      </c>
      <c r="G7" s="49" t="s">
        <v>5</v>
      </c>
      <c r="H7" s="47" t="s">
        <v>208</v>
      </c>
    </row>
    <row r="8" spans="1:8" ht="21" customHeight="1">
      <c r="B8" s="32">
        <v>6</v>
      </c>
      <c r="C8" s="18" t="s">
        <v>41</v>
      </c>
      <c r="D8" s="19" t="s">
        <v>205</v>
      </c>
      <c r="E8" s="19" t="s">
        <v>209</v>
      </c>
      <c r="F8" s="19" t="s">
        <v>210</v>
      </c>
      <c r="G8" s="48" t="s">
        <v>122</v>
      </c>
      <c r="H8" s="47" t="s">
        <v>211</v>
      </c>
    </row>
    <row r="9" spans="1:8" ht="63" customHeight="1">
      <c r="B9" s="32">
        <v>7</v>
      </c>
      <c r="C9" s="18" t="s">
        <v>41</v>
      </c>
      <c r="D9" s="19" t="s">
        <v>205</v>
      </c>
      <c r="E9" s="19" t="s">
        <v>212</v>
      </c>
      <c r="F9" s="19" t="s">
        <v>213</v>
      </c>
      <c r="G9" s="49" t="s">
        <v>5</v>
      </c>
      <c r="H9" s="47" t="s">
        <v>214</v>
      </c>
    </row>
    <row r="10" spans="1:8" ht="23" customHeight="1">
      <c r="B10" s="32">
        <v>8</v>
      </c>
      <c r="C10" s="18" t="s">
        <v>41</v>
      </c>
      <c r="D10" s="19" t="s">
        <v>205</v>
      </c>
      <c r="E10" s="19" t="s">
        <v>215</v>
      </c>
      <c r="F10" s="19" t="s">
        <v>216</v>
      </c>
      <c r="G10" s="48" t="s">
        <v>122</v>
      </c>
      <c r="H10" s="47" t="s">
        <v>217</v>
      </c>
    </row>
    <row r="11" spans="1:8" ht="23" customHeight="1">
      <c r="B11" s="32">
        <v>9</v>
      </c>
      <c r="C11" s="18" t="s">
        <v>41</v>
      </c>
      <c r="D11" s="19" t="s">
        <v>205</v>
      </c>
      <c r="E11" s="19" t="s">
        <v>218</v>
      </c>
      <c r="F11" s="19" t="s">
        <v>219</v>
      </c>
      <c r="G11" s="48" t="s">
        <v>122</v>
      </c>
      <c r="H11" s="47" t="s">
        <v>220</v>
      </c>
    </row>
    <row r="12" spans="1:8" ht="49" customHeight="1">
      <c r="B12" s="32">
        <v>10</v>
      </c>
      <c r="C12" s="18" t="s">
        <v>75</v>
      </c>
      <c r="D12" s="19" t="s">
        <v>192</v>
      </c>
      <c r="E12" s="19" t="s">
        <v>221</v>
      </c>
      <c r="F12" s="19" t="s">
        <v>222</v>
      </c>
      <c r="G12" s="46" t="s">
        <v>6</v>
      </c>
      <c r="H12" s="47" t="s">
        <v>223</v>
      </c>
    </row>
    <row r="13" spans="1:8" ht="26" customHeight="1">
      <c r="B13" s="32">
        <v>11</v>
      </c>
      <c r="C13" s="18" t="s">
        <v>75</v>
      </c>
      <c r="D13" s="19" t="s">
        <v>205</v>
      </c>
      <c r="E13" s="19" t="s">
        <v>224</v>
      </c>
      <c r="F13" s="19" t="s">
        <v>225</v>
      </c>
      <c r="G13" s="48" t="s">
        <v>122</v>
      </c>
      <c r="H13" s="47" t="s">
        <v>226</v>
      </c>
    </row>
    <row r="14" spans="1:8" ht="55" customHeight="1">
      <c r="B14" s="32">
        <v>12</v>
      </c>
      <c r="C14" s="18" t="s">
        <v>75</v>
      </c>
      <c r="D14" s="19" t="s">
        <v>205</v>
      </c>
      <c r="E14" s="19" t="s">
        <v>227</v>
      </c>
      <c r="F14" s="19" t="s">
        <v>228</v>
      </c>
      <c r="G14" s="46" t="s">
        <v>6</v>
      </c>
      <c r="H14" s="47" t="s">
        <v>229</v>
      </c>
    </row>
    <row r="15" spans="1:8" ht="51" customHeight="1">
      <c r="B15" s="32">
        <v>13</v>
      </c>
      <c r="C15" s="18" t="s">
        <v>75</v>
      </c>
      <c r="D15" s="19" t="s">
        <v>205</v>
      </c>
      <c r="E15" s="19" t="s">
        <v>230</v>
      </c>
      <c r="F15" s="19" t="s">
        <v>231</v>
      </c>
      <c r="G15" s="46" t="s">
        <v>6</v>
      </c>
      <c r="H15" s="47" t="s">
        <v>232</v>
      </c>
    </row>
    <row r="16" spans="1:8" ht="42" customHeight="1">
      <c r="B16" s="32">
        <v>14</v>
      </c>
      <c r="C16" s="18" t="s">
        <v>83</v>
      </c>
      <c r="D16" s="19" t="s">
        <v>205</v>
      </c>
      <c r="E16" s="19" t="s">
        <v>233</v>
      </c>
      <c r="F16" s="19" t="s">
        <v>234</v>
      </c>
      <c r="G16" s="49" t="s">
        <v>5</v>
      </c>
      <c r="H16" s="47" t="s">
        <v>235</v>
      </c>
    </row>
  </sheetData>
  <autoFilter ref="B2:H16" xr:uid="{00000000-0001-0000-0400-000000000000}"/>
  <mergeCells count="1">
    <mergeCell ref="B1:H1"/>
  </mergeCells>
  <dataValidations count="1">
    <dataValidation type="list" allowBlank="1" sqref="C3:C16" xr:uid="{00000000-0002-0000-0400-000000000000}">
      <formula1>" Critical, High, Medium, Low"</formula1>
    </dataValidation>
  </dataValidations>
  <pageMargins left="0.75" right="0.75" top="1" bottom="1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showGridLines="0" view="pageBreakPreview" zoomScale="85" zoomScaleNormal="70" zoomScaleSheetLayoutView="85" workbookViewId="0">
      <pane xSplit="1" ySplit="2" topLeftCell="C6" activePane="bottomRight" state="frozen"/>
      <selection pane="topRight"/>
      <selection pane="bottomLeft"/>
      <selection pane="bottomRight" activeCell="C2" sqref="C2"/>
    </sheetView>
  </sheetViews>
  <sheetFormatPr defaultRowHeight="14.5"/>
  <cols>
    <col min="1" max="1" width="4" style="37" customWidth="1"/>
    <col min="2" max="2" width="6" style="37" customWidth="1"/>
    <col min="3" max="3" width="14" style="37" customWidth="1"/>
    <col min="4" max="4" width="18" style="37" customWidth="1"/>
    <col min="5" max="5" width="38" style="37" customWidth="1"/>
    <col min="6" max="6" width="42" style="37" customWidth="1"/>
    <col min="7" max="7" width="16" style="37" customWidth="1"/>
    <col min="8" max="8" width="30" style="37" customWidth="1"/>
    <col min="9" max="9" width="4" style="37" customWidth="1"/>
  </cols>
  <sheetData>
    <row r="1" spans="1:8" ht="36.5" customHeight="1" thickBot="1">
      <c r="B1" s="102" t="s">
        <v>236</v>
      </c>
      <c r="C1" s="100"/>
      <c r="D1" s="100"/>
      <c r="E1" s="100"/>
      <c r="F1" s="100"/>
      <c r="G1" s="100"/>
      <c r="H1" s="100"/>
    </row>
    <row r="2" spans="1:8" ht="19.5" customHeight="1" thickBot="1">
      <c r="B2" s="23" t="s">
        <v>88</v>
      </c>
      <c r="C2" s="23" t="s">
        <v>21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ht="36" customHeight="1">
      <c r="A3" s="5"/>
      <c r="B3" s="22">
        <v>1</v>
      </c>
      <c r="C3" s="18" t="s">
        <v>26</v>
      </c>
      <c r="D3" s="18" t="s">
        <v>237</v>
      </c>
      <c r="E3" s="18" t="s">
        <v>238</v>
      </c>
      <c r="F3" s="18" t="s">
        <v>239</v>
      </c>
      <c r="G3" s="48" t="s">
        <v>122</v>
      </c>
      <c r="H3" s="47" t="s">
        <v>240</v>
      </c>
    </row>
    <row r="4" spans="1:8" ht="38" customHeight="1">
      <c r="A4" s="5"/>
      <c r="B4" s="22">
        <v>2</v>
      </c>
      <c r="C4" s="18" t="s">
        <v>26</v>
      </c>
      <c r="D4" s="18" t="s">
        <v>237</v>
      </c>
      <c r="E4" s="18" t="s">
        <v>241</v>
      </c>
      <c r="F4" s="18" t="s">
        <v>242</v>
      </c>
      <c r="G4" s="48" t="s">
        <v>122</v>
      </c>
      <c r="H4" s="47" t="s">
        <v>243</v>
      </c>
    </row>
    <row r="5" spans="1:8" ht="46" customHeight="1">
      <c r="B5" s="32">
        <v>3</v>
      </c>
      <c r="C5" s="18" t="s">
        <v>41</v>
      </c>
      <c r="D5" s="19" t="s">
        <v>237</v>
      </c>
      <c r="E5" s="19" t="s">
        <v>244</v>
      </c>
      <c r="F5" s="19" t="s">
        <v>245</v>
      </c>
      <c r="G5" s="49" t="s">
        <v>5</v>
      </c>
      <c r="H5" s="47" t="s">
        <v>246</v>
      </c>
    </row>
    <row r="6" spans="1:8" ht="74" customHeight="1">
      <c r="B6" s="32">
        <v>4</v>
      </c>
      <c r="C6" s="18" t="s">
        <v>41</v>
      </c>
      <c r="D6" s="19" t="s">
        <v>237</v>
      </c>
      <c r="E6" s="19" t="s">
        <v>247</v>
      </c>
      <c r="F6" s="19" t="s">
        <v>248</v>
      </c>
      <c r="G6" s="49" t="s">
        <v>5</v>
      </c>
      <c r="H6" s="47" t="s">
        <v>249</v>
      </c>
    </row>
    <row r="7" spans="1:8" ht="51" customHeight="1">
      <c r="B7" s="32">
        <v>5</v>
      </c>
      <c r="C7" s="18" t="s">
        <v>41</v>
      </c>
      <c r="D7" s="19" t="s">
        <v>237</v>
      </c>
      <c r="E7" s="19" t="s">
        <v>250</v>
      </c>
      <c r="F7" s="19" t="s">
        <v>251</v>
      </c>
      <c r="G7" s="49" t="s">
        <v>5</v>
      </c>
      <c r="H7" s="47" t="s">
        <v>252</v>
      </c>
    </row>
    <row r="8" spans="1:8" ht="34.5">
      <c r="B8" s="24">
        <v>6</v>
      </c>
      <c r="C8" s="18" t="s">
        <v>75</v>
      </c>
      <c r="D8" s="19" t="s">
        <v>237</v>
      </c>
      <c r="E8" s="19" t="s">
        <v>253</v>
      </c>
      <c r="F8" s="19" t="s">
        <v>254</v>
      </c>
      <c r="G8" s="48" t="s">
        <v>122</v>
      </c>
      <c r="H8" s="47" t="s">
        <v>255</v>
      </c>
    </row>
    <row r="9" spans="1:8" ht="49" customHeight="1">
      <c r="B9" s="32">
        <v>7</v>
      </c>
      <c r="C9" s="18" t="s">
        <v>75</v>
      </c>
      <c r="D9" s="19" t="s">
        <v>237</v>
      </c>
      <c r="E9" s="19" t="s">
        <v>256</v>
      </c>
      <c r="F9" s="19" t="s">
        <v>257</v>
      </c>
      <c r="G9" s="49" t="s">
        <v>5</v>
      </c>
      <c r="H9" s="47" t="s">
        <v>258</v>
      </c>
    </row>
    <row r="10" spans="1:8" ht="40" customHeight="1">
      <c r="B10" s="24">
        <v>8</v>
      </c>
      <c r="C10" s="18" t="s">
        <v>83</v>
      </c>
      <c r="D10" s="19" t="s">
        <v>237</v>
      </c>
      <c r="E10" s="19" t="s">
        <v>259</v>
      </c>
      <c r="F10" s="19" t="s">
        <v>260</v>
      </c>
      <c r="G10" s="49" t="s">
        <v>5</v>
      </c>
      <c r="H10" s="47" t="s">
        <v>261</v>
      </c>
    </row>
  </sheetData>
  <autoFilter ref="B2:H10" xr:uid="{00000000-0001-0000-0500-000000000000}"/>
  <mergeCells count="1">
    <mergeCell ref="B1:H1"/>
  </mergeCells>
  <dataValidations count="1">
    <dataValidation type="list" allowBlank="1" sqref="C3:C10" xr:uid="{00000000-0002-0000-0500-000000000000}">
      <formula1>" Critical, High, Medium, Low"</formula1>
    </dataValidation>
  </dataValidations>
  <pageMargins left="0.75" right="0.75" top="1" bottom="1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showGridLines="0" view="pageBreakPreview" zoomScale="85" zoomScaleNormal="85" zoomScaleSheetLayoutView="85" workbookViewId="0">
      <pane xSplit="1" ySplit="2" topLeftCell="B3" activePane="bottomRight" state="frozen"/>
      <selection pane="topRight"/>
      <selection pane="bottomLeft"/>
      <selection pane="bottomRight" activeCell="F6" sqref="F6"/>
    </sheetView>
  </sheetViews>
  <sheetFormatPr defaultRowHeight="14.5"/>
  <cols>
    <col min="1" max="1" width="4" style="37" customWidth="1"/>
    <col min="2" max="2" width="7.26953125" style="37" bestFit="1" customWidth="1"/>
    <col min="3" max="3" width="12.453125" style="37" bestFit="1" customWidth="1"/>
    <col min="4" max="4" width="14" style="37" bestFit="1" customWidth="1"/>
    <col min="5" max="5" width="35.6328125" style="37" bestFit="1" customWidth="1"/>
    <col min="6" max="6" width="28.08984375" style="37" bestFit="1" customWidth="1"/>
    <col min="7" max="7" width="15.90625" style="37" bestFit="1" customWidth="1"/>
    <col min="8" max="8" width="46.90625" style="37" customWidth="1"/>
    <col min="9" max="9" width="4" style="37" customWidth="1"/>
  </cols>
  <sheetData>
    <row r="1" spans="2:8" ht="15" thickBot="1">
      <c r="B1" s="101" t="s">
        <v>262</v>
      </c>
      <c r="C1" s="100"/>
      <c r="D1" s="100"/>
      <c r="E1" s="100"/>
      <c r="F1" s="100"/>
      <c r="G1" s="100"/>
      <c r="H1" s="100"/>
    </row>
    <row r="2" spans="2:8" ht="15" thickBot="1">
      <c r="B2" s="4" t="s">
        <v>88</v>
      </c>
      <c r="C2" s="4" t="s">
        <v>21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2:8" ht="23">
      <c r="B3" s="17">
        <v>1</v>
      </c>
      <c r="C3" s="20" t="s">
        <v>26</v>
      </c>
      <c r="D3" s="18" t="s">
        <v>263</v>
      </c>
      <c r="E3" s="18" t="s">
        <v>264</v>
      </c>
      <c r="F3" s="18" t="s">
        <v>265</v>
      </c>
      <c r="G3" s="48" t="s">
        <v>122</v>
      </c>
      <c r="H3" s="47" t="s">
        <v>266</v>
      </c>
    </row>
    <row r="4" spans="2:8" ht="23">
      <c r="B4" s="17">
        <v>2</v>
      </c>
      <c r="C4" s="20" t="s">
        <v>26</v>
      </c>
      <c r="D4" s="18" t="s">
        <v>263</v>
      </c>
      <c r="E4" s="18" t="s">
        <v>267</v>
      </c>
      <c r="F4" s="18" t="s">
        <v>268</v>
      </c>
      <c r="G4" s="48" t="s">
        <v>122</v>
      </c>
      <c r="H4" s="47" t="s">
        <v>269</v>
      </c>
    </row>
    <row r="5" spans="2:8" ht="71.5" customHeight="1">
      <c r="B5" s="17">
        <v>3</v>
      </c>
      <c r="C5" s="20" t="s">
        <v>26</v>
      </c>
      <c r="D5" s="18" t="s">
        <v>263</v>
      </c>
      <c r="E5" s="18" t="s">
        <v>270</v>
      </c>
      <c r="F5" s="18" t="s">
        <v>271</v>
      </c>
      <c r="G5" s="49" t="s">
        <v>5</v>
      </c>
      <c r="H5" s="47" t="s">
        <v>272</v>
      </c>
    </row>
    <row r="6" spans="2:8" ht="34.5">
      <c r="B6" s="17">
        <v>4</v>
      </c>
      <c r="C6" s="20" t="s">
        <v>26</v>
      </c>
      <c r="D6" s="18" t="s">
        <v>263</v>
      </c>
      <c r="E6" s="18" t="s">
        <v>273</v>
      </c>
      <c r="F6" s="18" t="s">
        <v>274</v>
      </c>
      <c r="G6" s="49" t="s">
        <v>5</v>
      </c>
      <c r="H6" s="47" t="s">
        <v>275</v>
      </c>
    </row>
    <row r="7" spans="2:8" ht="60.5" customHeight="1">
      <c r="B7" s="32">
        <v>5</v>
      </c>
      <c r="C7" s="20" t="s">
        <v>41</v>
      </c>
      <c r="D7" s="19" t="s">
        <v>263</v>
      </c>
      <c r="E7" s="19" t="s">
        <v>276</v>
      </c>
      <c r="F7" s="19" t="s">
        <v>277</v>
      </c>
      <c r="G7" s="49" t="s">
        <v>5</v>
      </c>
      <c r="H7" s="47" t="s">
        <v>278</v>
      </c>
    </row>
    <row r="8" spans="2:8" ht="57.5">
      <c r="B8" s="25">
        <v>6</v>
      </c>
      <c r="C8" s="26" t="s">
        <v>41</v>
      </c>
      <c r="D8" s="27" t="s">
        <v>279</v>
      </c>
      <c r="E8" s="27" t="s">
        <v>280</v>
      </c>
      <c r="F8" s="27" t="s">
        <v>281</v>
      </c>
      <c r="G8" s="46" t="s">
        <v>6</v>
      </c>
      <c r="H8" s="50" t="s">
        <v>282</v>
      </c>
    </row>
    <row r="9" spans="2:8" ht="34.5">
      <c r="B9" s="25">
        <v>7</v>
      </c>
      <c r="C9" s="26" t="s">
        <v>41</v>
      </c>
      <c r="D9" s="27" t="s">
        <v>279</v>
      </c>
      <c r="E9" s="27" t="s">
        <v>283</v>
      </c>
      <c r="F9" s="27" t="s">
        <v>284</v>
      </c>
      <c r="G9" s="46" t="s">
        <v>6</v>
      </c>
      <c r="H9" s="50" t="s">
        <v>285</v>
      </c>
    </row>
    <row r="10" spans="2:8" ht="34.5">
      <c r="B10" s="25">
        <v>8</v>
      </c>
      <c r="C10" s="26" t="s">
        <v>41</v>
      </c>
      <c r="D10" s="27" t="s">
        <v>279</v>
      </c>
      <c r="E10" s="27" t="s">
        <v>286</v>
      </c>
      <c r="F10" s="27" t="s">
        <v>287</v>
      </c>
      <c r="G10" s="46" t="s">
        <v>6</v>
      </c>
      <c r="H10" s="50" t="s">
        <v>288</v>
      </c>
    </row>
    <row r="11" spans="2:8" ht="56.5" customHeight="1">
      <c r="B11" s="25">
        <v>9</v>
      </c>
      <c r="C11" s="26" t="s">
        <v>75</v>
      </c>
      <c r="D11" s="27" t="s">
        <v>263</v>
      </c>
      <c r="E11" s="27" t="s">
        <v>289</v>
      </c>
      <c r="F11" s="27" t="s">
        <v>290</v>
      </c>
      <c r="G11" s="49" t="s">
        <v>5</v>
      </c>
      <c r="H11" s="50" t="s">
        <v>291</v>
      </c>
    </row>
    <row r="12" spans="2:8" ht="34.5">
      <c r="B12" s="25">
        <v>10</v>
      </c>
      <c r="C12" s="26" t="s">
        <v>75</v>
      </c>
      <c r="D12" s="27" t="s">
        <v>263</v>
      </c>
      <c r="E12" s="27" t="s">
        <v>292</v>
      </c>
      <c r="F12" s="27" t="s">
        <v>293</v>
      </c>
      <c r="G12" s="49" t="s">
        <v>5</v>
      </c>
      <c r="H12" s="50" t="s">
        <v>294</v>
      </c>
    </row>
    <row r="13" spans="2:8" ht="46">
      <c r="B13" s="25">
        <v>11</v>
      </c>
      <c r="C13" s="26" t="s">
        <v>75</v>
      </c>
      <c r="D13" s="27" t="s">
        <v>279</v>
      </c>
      <c r="E13" s="27" t="s">
        <v>295</v>
      </c>
      <c r="F13" s="27" t="s">
        <v>296</v>
      </c>
      <c r="G13" s="46" t="s">
        <v>6</v>
      </c>
      <c r="H13" s="50" t="s">
        <v>297</v>
      </c>
    </row>
    <row r="14" spans="2:8" ht="46">
      <c r="B14" s="25">
        <v>12</v>
      </c>
      <c r="C14" s="26" t="s">
        <v>83</v>
      </c>
      <c r="D14" s="27" t="s">
        <v>279</v>
      </c>
      <c r="E14" s="27" t="s">
        <v>298</v>
      </c>
      <c r="F14" s="27" t="s">
        <v>299</v>
      </c>
      <c r="G14" s="49" t="s">
        <v>5</v>
      </c>
      <c r="H14" s="50" t="s">
        <v>300</v>
      </c>
    </row>
  </sheetData>
  <autoFilter ref="B2:H14" xr:uid="{00000000-0001-0000-0600-000000000000}"/>
  <mergeCells count="1">
    <mergeCell ref="B1:H1"/>
  </mergeCells>
  <dataValidations count="1">
    <dataValidation type="list" allowBlank="1" sqref="C3:C14" xr:uid="{00000000-0002-0000-0600-000000000000}">
      <formula1>" Critical, High, Medium, Low"</formula1>
    </dataValidation>
  </dataValidations>
  <pageMargins left="0.75" right="0.75" top="1" bottom="1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"/>
  <sheetViews>
    <sheetView showGridLines="0" view="pageBreakPreview" zoomScale="85" zoomScaleNormal="85" zoomScaleSheetLayoutView="85" workbookViewId="0">
      <pane xSplit="1" ySplit="2" topLeftCell="B3" activePane="bottomRight" state="frozen"/>
      <selection pane="topRight"/>
      <selection pane="bottomLeft"/>
      <selection pane="bottomRight" activeCell="F7" sqref="F7"/>
    </sheetView>
  </sheetViews>
  <sheetFormatPr defaultRowHeight="14.5"/>
  <cols>
    <col min="1" max="1" width="4" style="37" customWidth="1"/>
    <col min="2" max="2" width="6" style="37" customWidth="1"/>
    <col min="3" max="3" width="14" style="37" customWidth="1"/>
    <col min="4" max="4" width="18" style="37" customWidth="1"/>
    <col min="5" max="5" width="38" style="37" customWidth="1"/>
    <col min="6" max="6" width="42" style="37" customWidth="1"/>
    <col min="7" max="7" width="16" style="37" customWidth="1"/>
    <col min="8" max="8" width="30" style="37" customWidth="1"/>
    <col min="9" max="9" width="4" style="37" customWidth="1"/>
  </cols>
  <sheetData>
    <row r="1" spans="1:8" ht="40" customHeight="1" thickBot="1">
      <c r="B1" s="102" t="s">
        <v>301</v>
      </c>
      <c r="C1" s="100"/>
      <c r="D1" s="100"/>
      <c r="E1" s="100"/>
      <c r="F1" s="100"/>
      <c r="G1" s="100"/>
      <c r="H1" s="100"/>
    </row>
    <row r="2" spans="1:8" ht="28" customHeight="1" thickBot="1">
      <c r="B2" s="4" t="s">
        <v>88</v>
      </c>
      <c r="C2" s="4" t="s">
        <v>21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ht="57" customHeight="1">
      <c r="A3" s="5"/>
      <c r="B3" s="21">
        <v>1</v>
      </c>
      <c r="C3" s="20" t="s">
        <v>26</v>
      </c>
      <c r="D3" s="20" t="s">
        <v>302</v>
      </c>
      <c r="E3" s="20" t="s">
        <v>303</v>
      </c>
      <c r="F3" s="20" t="s">
        <v>304</v>
      </c>
      <c r="G3" s="48" t="s">
        <v>122</v>
      </c>
      <c r="H3" s="47" t="s">
        <v>305</v>
      </c>
    </row>
    <row r="4" spans="1:8" ht="69">
      <c r="B4" s="17">
        <v>2</v>
      </c>
      <c r="C4" s="20" t="s">
        <v>26</v>
      </c>
      <c r="D4" s="18" t="s">
        <v>302</v>
      </c>
      <c r="E4" s="18" t="s">
        <v>306</v>
      </c>
      <c r="F4" s="18" t="s">
        <v>307</v>
      </c>
      <c r="G4" s="48" t="s">
        <v>122</v>
      </c>
      <c r="H4" s="47" t="s">
        <v>308</v>
      </c>
    </row>
    <row r="5" spans="1:8" ht="60" customHeight="1">
      <c r="A5" s="5"/>
      <c r="B5" s="21">
        <v>3</v>
      </c>
      <c r="C5" s="20" t="s">
        <v>41</v>
      </c>
      <c r="D5" s="20" t="s">
        <v>302</v>
      </c>
      <c r="E5" s="20" t="s">
        <v>309</v>
      </c>
      <c r="F5" s="20" t="s">
        <v>310</v>
      </c>
      <c r="G5" s="46" t="s">
        <v>6</v>
      </c>
      <c r="H5" s="47" t="s">
        <v>311</v>
      </c>
    </row>
    <row r="6" spans="1:8" ht="69">
      <c r="B6" s="17">
        <v>4</v>
      </c>
      <c r="C6" s="20" t="s">
        <v>41</v>
      </c>
      <c r="D6" s="18" t="s">
        <v>302</v>
      </c>
      <c r="E6" s="18" t="s">
        <v>312</v>
      </c>
      <c r="F6" s="18" t="s">
        <v>313</v>
      </c>
      <c r="G6" s="46" t="s">
        <v>6</v>
      </c>
      <c r="H6" s="47" t="s">
        <v>314</v>
      </c>
    </row>
    <row r="7" spans="1:8" ht="73.5" customHeight="1">
      <c r="B7" s="17">
        <v>5</v>
      </c>
      <c r="C7" s="20" t="s">
        <v>41</v>
      </c>
      <c r="D7" s="28" t="s">
        <v>302</v>
      </c>
      <c r="E7" s="28" t="s">
        <v>315</v>
      </c>
      <c r="F7" s="28" t="s">
        <v>316</v>
      </c>
      <c r="G7" s="49" t="s">
        <v>5</v>
      </c>
      <c r="H7" s="50" t="s">
        <v>317</v>
      </c>
    </row>
    <row r="8" spans="1:8" ht="78.5" customHeight="1">
      <c r="B8" s="17">
        <v>6</v>
      </c>
      <c r="C8" s="20" t="s">
        <v>75</v>
      </c>
      <c r="D8" s="28" t="s">
        <v>302</v>
      </c>
      <c r="E8" s="28" t="s">
        <v>318</v>
      </c>
      <c r="F8" s="28" t="s">
        <v>319</v>
      </c>
      <c r="G8" s="49" t="s">
        <v>5</v>
      </c>
      <c r="H8" s="50" t="s">
        <v>320</v>
      </c>
    </row>
    <row r="9" spans="1:8" ht="80.5">
      <c r="B9" s="32">
        <v>7</v>
      </c>
      <c r="C9" s="20" t="s">
        <v>75</v>
      </c>
      <c r="D9" s="19" t="s">
        <v>302</v>
      </c>
      <c r="E9" s="19" t="s">
        <v>321</v>
      </c>
      <c r="F9" s="19" t="s">
        <v>322</v>
      </c>
      <c r="G9" s="46" t="s">
        <v>6</v>
      </c>
      <c r="H9" s="47" t="s">
        <v>323</v>
      </c>
    </row>
    <row r="10" spans="1:8" ht="48" customHeight="1">
      <c r="B10" s="32">
        <v>8</v>
      </c>
      <c r="C10" s="20" t="s">
        <v>75</v>
      </c>
      <c r="D10" s="19" t="s">
        <v>302</v>
      </c>
      <c r="E10" s="19" t="s">
        <v>324</v>
      </c>
      <c r="F10" s="19" t="s">
        <v>325</v>
      </c>
      <c r="G10" s="49" t="s">
        <v>5</v>
      </c>
      <c r="H10" s="47" t="s">
        <v>326</v>
      </c>
    </row>
    <row r="11" spans="1:8" ht="50" customHeight="1">
      <c r="B11" s="32">
        <v>9</v>
      </c>
      <c r="C11" s="20" t="s">
        <v>75</v>
      </c>
      <c r="D11" s="19" t="s">
        <v>302</v>
      </c>
      <c r="E11" s="19" t="s">
        <v>327</v>
      </c>
      <c r="F11" s="19" t="s">
        <v>328</v>
      </c>
      <c r="G11" s="49" t="s">
        <v>5</v>
      </c>
      <c r="H11" s="47" t="s">
        <v>329</v>
      </c>
    </row>
    <row r="12" spans="1:8" ht="39" customHeight="1">
      <c r="B12" s="24">
        <v>10</v>
      </c>
      <c r="C12" s="29" t="s">
        <v>83</v>
      </c>
      <c r="D12" s="19" t="s">
        <v>302</v>
      </c>
      <c r="E12" s="19" t="s">
        <v>330</v>
      </c>
      <c r="F12" s="19" t="s">
        <v>331</v>
      </c>
      <c r="G12" s="46" t="s">
        <v>6</v>
      </c>
      <c r="H12" s="47" t="s">
        <v>332</v>
      </c>
    </row>
  </sheetData>
  <autoFilter ref="B2:H12" xr:uid="{00000000-0001-0000-0700-000000000000}"/>
  <mergeCells count="1">
    <mergeCell ref="B1:H1"/>
  </mergeCells>
  <dataValidations count="1">
    <dataValidation type="list" allowBlank="1" sqref="C3:C12" xr:uid="{00000000-0002-0000-0700-000000000000}">
      <formula1>" Critical, High, Medium, Low"</formula1>
    </dataValidation>
  </dataValidations>
  <pageMargins left="0.75" right="0.75" top="1" bottom="1" header="0.5" footer="0.5"/>
  <pageSetup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"/>
  <sheetViews>
    <sheetView showGridLines="0" view="pageBreakPreview" zoomScale="85" zoomScaleNormal="85" zoomScaleSheetLayoutView="85" workbookViewId="0">
      <pane xSplit="1" ySplit="2" topLeftCell="B8" activePane="bottomRight" state="frozen"/>
      <selection pane="topRight"/>
      <selection pane="bottomLeft"/>
      <selection pane="bottomRight" activeCell="F4" sqref="F4"/>
    </sheetView>
  </sheetViews>
  <sheetFormatPr defaultRowHeight="14.5"/>
  <cols>
    <col min="1" max="1" width="4" style="37" customWidth="1"/>
    <col min="2" max="2" width="2.6328125" style="37" bestFit="1" customWidth="1"/>
    <col min="3" max="3" width="6.26953125" style="37" bestFit="1" customWidth="1"/>
    <col min="4" max="4" width="7.08984375" style="37" bestFit="1" customWidth="1"/>
    <col min="5" max="5" width="30" style="37" bestFit="1" customWidth="1"/>
    <col min="6" max="6" width="36.90625" style="37" bestFit="1" customWidth="1"/>
    <col min="7" max="7" width="15.90625" style="37" bestFit="1" customWidth="1"/>
    <col min="8" max="8" width="41.7265625" style="37" bestFit="1" customWidth="1"/>
    <col min="9" max="9" width="4" style="37" customWidth="1"/>
  </cols>
  <sheetData>
    <row r="1" spans="2:8" ht="40" customHeight="1" thickBot="1">
      <c r="B1" s="101" t="s">
        <v>333</v>
      </c>
      <c r="C1" s="100"/>
      <c r="D1" s="100"/>
      <c r="E1" s="100"/>
      <c r="F1" s="100"/>
      <c r="G1" s="100"/>
      <c r="H1" s="100"/>
    </row>
    <row r="2" spans="2:8" ht="28" customHeight="1" thickBot="1">
      <c r="B2" s="4" t="s">
        <v>88</v>
      </c>
      <c r="C2" s="4" t="s">
        <v>21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2:8" ht="75" customHeight="1">
      <c r="B3" s="17">
        <v>1</v>
      </c>
      <c r="C3" s="18" t="s">
        <v>26</v>
      </c>
      <c r="D3" s="18" t="s">
        <v>334</v>
      </c>
      <c r="E3" s="18" t="s">
        <v>335</v>
      </c>
      <c r="F3" s="18" t="s">
        <v>336</v>
      </c>
      <c r="G3" s="68" t="s">
        <v>5</v>
      </c>
      <c r="H3" s="69" t="s">
        <v>337</v>
      </c>
    </row>
    <row r="4" spans="2:8" ht="64" customHeight="1">
      <c r="B4" s="17">
        <v>2</v>
      </c>
      <c r="C4" s="18" t="s">
        <v>26</v>
      </c>
      <c r="D4" s="18" t="s">
        <v>334</v>
      </c>
      <c r="E4" s="18" t="s">
        <v>338</v>
      </c>
      <c r="F4" s="18" t="s">
        <v>339</v>
      </c>
      <c r="G4" s="70" t="s">
        <v>122</v>
      </c>
      <c r="H4" s="69" t="s">
        <v>340</v>
      </c>
    </row>
    <row r="5" spans="2:8" ht="56" customHeight="1">
      <c r="B5" s="32">
        <v>3</v>
      </c>
      <c r="C5" s="18" t="s">
        <v>41</v>
      </c>
      <c r="D5" s="18" t="s">
        <v>334</v>
      </c>
      <c r="E5" s="18" t="s">
        <v>341</v>
      </c>
      <c r="F5" s="18" t="s">
        <v>342</v>
      </c>
      <c r="G5" s="68" t="s">
        <v>5</v>
      </c>
      <c r="H5" s="69" t="s">
        <v>343</v>
      </c>
    </row>
    <row r="6" spans="2:8" ht="29" customHeight="1">
      <c r="B6" s="32">
        <v>4</v>
      </c>
      <c r="C6" s="18" t="s">
        <v>41</v>
      </c>
      <c r="D6" s="18" t="s">
        <v>334</v>
      </c>
      <c r="E6" s="18" t="s">
        <v>344</v>
      </c>
      <c r="F6" s="18" t="s">
        <v>345</v>
      </c>
      <c r="G6" s="70" t="s">
        <v>122</v>
      </c>
      <c r="H6" s="69" t="s">
        <v>346</v>
      </c>
    </row>
    <row r="7" spans="2:8" ht="34.5">
      <c r="B7" s="32">
        <v>5</v>
      </c>
      <c r="C7" s="18" t="s">
        <v>41</v>
      </c>
      <c r="D7" s="18" t="s">
        <v>334</v>
      </c>
      <c r="E7" s="18" t="s">
        <v>347</v>
      </c>
      <c r="F7" s="18" t="s">
        <v>348</v>
      </c>
      <c r="G7" s="70" t="s">
        <v>122</v>
      </c>
      <c r="H7" s="69" t="s">
        <v>349</v>
      </c>
    </row>
    <row r="8" spans="2:8" ht="57.5">
      <c r="B8" s="32">
        <v>6</v>
      </c>
      <c r="C8" s="18" t="s">
        <v>41</v>
      </c>
      <c r="D8" s="18" t="s">
        <v>334</v>
      </c>
      <c r="E8" s="18" t="s">
        <v>350</v>
      </c>
      <c r="F8" s="18" t="s">
        <v>351</v>
      </c>
      <c r="G8" s="68" t="s">
        <v>5</v>
      </c>
      <c r="H8" s="69" t="s">
        <v>352</v>
      </c>
    </row>
    <row r="9" spans="2:8" ht="34.5">
      <c r="B9" s="32">
        <v>7</v>
      </c>
      <c r="C9" s="18" t="s">
        <v>75</v>
      </c>
      <c r="D9" s="18" t="s">
        <v>334</v>
      </c>
      <c r="E9" s="18" t="s">
        <v>353</v>
      </c>
      <c r="F9" s="18" t="s">
        <v>354</v>
      </c>
      <c r="G9" s="70" t="s">
        <v>122</v>
      </c>
      <c r="H9" s="69" t="s">
        <v>355</v>
      </c>
    </row>
    <row r="10" spans="2:8" ht="23">
      <c r="B10" s="32">
        <v>8</v>
      </c>
      <c r="C10" s="18" t="s">
        <v>75</v>
      </c>
      <c r="D10" s="18" t="s">
        <v>334</v>
      </c>
      <c r="E10" s="18" t="s">
        <v>356</v>
      </c>
      <c r="F10" s="18" t="s">
        <v>357</v>
      </c>
      <c r="G10" s="70" t="s">
        <v>122</v>
      </c>
      <c r="H10" s="69" t="s">
        <v>358</v>
      </c>
    </row>
    <row r="11" spans="2:8" ht="23">
      <c r="B11" s="32">
        <v>9</v>
      </c>
      <c r="C11" s="18" t="s">
        <v>75</v>
      </c>
      <c r="D11" s="18" t="s">
        <v>334</v>
      </c>
      <c r="E11" s="18" t="s">
        <v>359</v>
      </c>
      <c r="F11" s="18" t="s">
        <v>360</v>
      </c>
      <c r="G11" s="70" t="s">
        <v>122</v>
      </c>
      <c r="H11" s="69" t="s">
        <v>361</v>
      </c>
    </row>
    <row r="12" spans="2:8" ht="46">
      <c r="B12" s="32">
        <v>10</v>
      </c>
      <c r="C12" s="18" t="s">
        <v>83</v>
      </c>
      <c r="D12" s="18" t="s">
        <v>334</v>
      </c>
      <c r="E12" s="18" t="s">
        <v>362</v>
      </c>
      <c r="F12" s="18" t="s">
        <v>363</v>
      </c>
      <c r="G12" s="68" t="s">
        <v>5</v>
      </c>
      <c r="H12" s="69" t="s">
        <v>364</v>
      </c>
    </row>
  </sheetData>
  <autoFilter ref="B2:H12" xr:uid="{00000000-0001-0000-0800-000000000000}"/>
  <mergeCells count="1">
    <mergeCell ref="B1:H1"/>
  </mergeCells>
  <dataValidations count="1">
    <dataValidation type="list" allowBlank="1" sqref="C3:C12" xr:uid="{00000000-0002-0000-0800-000000000000}">
      <formula1>" Critical, High, Medium, Low"</formula1>
    </dataValidation>
  </dataValidations>
  <pageMargins left="0.75" right="0.75" top="1" bottom="1" header="0.5" footer="0.5"/>
  <pageSetup scale="6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showGridLines="0" view="pageBreakPreview" zoomScale="85" zoomScaleNormal="100" zoomScaleSheetLayoutView="85" workbookViewId="0">
      <pane xSplit="1" ySplit="2" topLeftCell="B3" activePane="bottomRight" state="frozen"/>
      <selection pane="topRight"/>
      <selection pane="bottomLeft"/>
      <selection pane="bottomRight" activeCell="G5" sqref="G5"/>
    </sheetView>
  </sheetViews>
  <sheetFormatPr defaultRowHeight="14.5"/>
  <cols>
    <col min="1" max="1" width="4" style="37" customWidth="1"/>
    <col min="2" max="2" width="4.6328125" style="37" customWidth="1"/>
    <col min="3" max="3" width="6.54296875" style="37" bestFit="1" customWidth="1"/>
    <col min="4" max="4" width="5.54296875" style="37" bestFit="1" customWidth="1"/>
    <col min="5" max="5" width="31.54296875" style="37" bestFit="1" customWidth="1"/>
    <col min="6" max="6" width="36.1796875" style="37" bestFit="1" customWidth="1"/>
    <col min="7" max="7" width="16.54296875" style="37" bestFit="1" customWidth="1"/>
    <col min="8" max="8" width="41.08984375" style="37" bestFit="1" customWidth="1"/>
    <col min="9" max="9" width="4" style="37" customWidth="1"/>
  </cols>
  <sheetData>
    <row r="1" spans="2:8" ht="40" customHeight="1" thickBot="1">
      <c r="B1" s="102" t="s">
        <v>365</v>
      </c>
      <c r="C1" s="100"/>
      <c r="D1" s="100"/>
      <c r="E1" s="100"/>
      <c r="F1" s="100"/>
      <c r="G1" s="100"/>
      <c r="H1" s="100"/>
    </row>
    <row r="2" spans="2:8" ht="28" customHeight="1" thickBot="1">
      <c r="B2" s="4" t="s">
        <v>88</v>
      </c>
      <c r="C2" s="4" t="s">
        <v>21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2:8" ht="34.5">
      <c r="B3" s="17">
        <v>1</v>
      </c>
      <c r="C3" s="18" t="s">
        <v>26</v>
      </c>
      <c r="D3" s="18" t="s">
        <v>366</v>
      </c>
      <c r="E3" s="18" t="s">
        <v>367</v>
      </c>
      <c r="F3" s="18" t="s">
        <v>368</v>
      </c>
      <c r="G3" s="48" t="s">
        <v>122</v>
      </c>
      <c r="H3" s="47" t="s">
        <v>369</v>
      </c>
    </row>
    <row r="4" spans="2:8" ht="40.5" customHeight="1">
      <c r="B4" s="17">
        <v>2</v>
      </c>
      <c r="C4" s="18" t="s">
        <v>26</v>
      </c>
      <c r="D4" s="18" t="s">
        <v>366</v>
      </c>
      <c r="E4" s="18" t="s">
        <v>370</v>
      </c>
      <c r="F4" s="18" t="s">
        <v>371</v>
      </c>
      <c r="G4" s="48" t="s">
        <v>122</v>
      </c>
      <c r="H4" s="47" t="s">
        <v>372</v>
      </c>
    </row>
    <row r="5" spans="2:8" ht="46">
      <c r="B5" s="17">
        <v>3</v>
      </c>
      <c r="C5" s="18" t="s">
        <v>41</v>
      </c>
      <c r="D5" s="18" t="s">
        <v>366</v>
      </c>
      <c r="E5" s="18" t="s">
        <v>373</v>
      </c>
      <c r="F5" s="18" t="s">
        <v>374</v>
      </c>
      <c r="G5" s="49" t="s">
        <v>5</v>
      </c>
      <c r="H5" s="47" t="s">
        <v>375</v>
      </c>
    </row>
    <row r="6" spans="2:8" ht="70" customHeight="1">
      <c r="B6" s="17">
        <v>4</v>
      </c>
      <c r="C6" s="18" t="s">
        <v>41</v>
      </c>
      <c r="D6" s="18" t="s">
        <v>366</v>
      </c>
      <c r="E6" s="18" t="s">
        <v>376</v>
      </c>
      <c r="F6" s="18" t="s">
        <v>377</v>
      </c>
      <c r="G6" s="46" t="s">
        <v>6</v>
      </c>
      <c r="H6" s="47" t="s">
        <v>378</v>
      </c>
    </row>
    <row r="7" spans="2:8" ht="46">
      <c r="B7" s="30">
        <v>5</v>
      </c>
      <c r="C7" s="33" t="s">
        <v>41</v>
      </c>
      <c r="D7" s="28" t="s">
        <v>366</v>
      </c>
      <c r="E7" s="28" t="s">
        <v>379</v>
      </c>
      <c r="F7" s="28" t="s">
        <v>380</v>
      </c>
      <c r="G7" s="49" t="s">
        <v>5</v>
      </c>
      <c r="H7" s="50" t="s">
        <v>381</v>
      </c>
    </row>
    <row r="8" spans="2:8" ht="46">
      <c r="B8" s="30">
        <v>6</v>
      </c>
      <c r="C8" s="33" t="s">
        <v>75</v>
      </c>
      <c r="D8" s="28" t="s">
        <v>366</v>
      </c>
      <c r="E8" s="28" t="s">
        <v>382</v>
      </c>
      <c r="F8" s="28" t="s">
        <v>383</v>
      </c>
      <c r="G8" s="48" t="s">
        <v>122</v>
      </c>
      <c r="H8" s="50" t="s">
        <v>384</v>
      </c>
    </row>
    <row r="9" spans="2:8" ht="80.5">
      <c r="B9" s="30">
        <v>7</v>
      </c>
      <c r="C9" s="33" t="s">
        <v>75</v>
      </c>
      <c r="D9" s="28" t="s">
        <v>366</v>
      </c>
      <c r="E9" s="28" t="s">
        <v>385</v>
      </c>
      <c r="F9" s="28" t="s">
        <v>386</v>
      </c>
      <c r="G9" s="49" t="s">
        <v>5</v>
      </c>
      <c r="H9" s="50" t="s">
        <v>387</v>
      </c>
    </row>
    <row r="10" spans="2:8" ht="57.5">
      <c r="B10" s="30">
        <v>8</v>
      </c>
      <c r="C10" s="33" t="s">
        <v>75</v>
      </c>
      <c r="D10" s="28" t="s">
        <v>366</v>
      </c>
      <c r="E10" s="28" t="s">
        <v>388</v>
      </c>
      <c r="F10" s="28" t="s">
        <v>389</v>
      </c>
      <c r="G10" s="48" t="s">
        <v>122</v>
      </c>
      <c r="H10" s="50" t="s">
        <v>390</v>
      </c>
    </row>
    <row r="11" spans="2:8" ht="46">
      <c r="B11" s="30">
        <v>9</v>
      </c>
      <c r="C11" s="33" t="s">
        <v>83</v>
      </c>
      <c r="D11" s="28" t="s">
        <v>366</v>
      </c>
      <c r="E11" s="28" t="s">
        <v>391</v>
      </c>
      <c r="F11" s="28" t="s">
        <v>392</v>
      </c>
      <c r="G11" s="49" t="s">
        <v>5</v>
      </c>
      <c r="H11" s="50" t="s">
        <v>393</v>
      </c>
    </row>
  </sheetData>
  <autoFilter ref="B2:H11" xr:uid="{00000000-0001-0000-0900-000000000000}"/>
  <mergeCells count="1">
    <mergeCell ref="B1:H1"/>
  </mergeCells>
  <dataValidations count="1">
    <dataValidation type="list" allowBlank="1" sqref="C3:C11" xr:uid="{00000000-0002-0000-0900-000000000000}">
      <formula1>" Critical, High, Medium, Low"</formula1>
    </dataValidation>
  </dataValidations>
  <pageMargins left="0.75" right="0.75" top="1" bottom="1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"/>
  <sheetViews>
    <sheetView showGridLines="0" view="pageBreakPreview" zoomScale="85" zoomScaleNormal="100" zoomScaleSheetLayoutView="85" workbookViewId="0">
      <pane xSplit="1" ySplit="2" topLeftCell="B8" activePane="bottomRight" state="frozen"/>
      <selection activeCell="F13" sqref="F13"/>
      <selection pane="topRight" activeCell="F13" sqref="F13"/>
      <selection pane="bottomLeft" activeCell="F13" sqref="F13"/>
      <selection pane="bottomRight" activeCell="H9" sqref="H9"/>
    </sheetView>
  </sheetViews>
  <sheetFormatPr defaultRowHeight="14.5"/>
  <cols>
    <col min="1" max="1" width="4" style="37" customWidth="1"/>
    <col min="2" max="2" width="1.7265625" style="37" bestFit="1" customWidth="1"/>
    <col min="3" max="3" width="6.54296875" style="37" bestFit="1" customWidth="1"/>
    <col min="4" max="4" width="7" style="37" bestFit="1" customWidth="1"/>
    <col min="5" max="5" width="37.7265625" style="37" bestFit="1" customWidth="1"/>
    <col min="6" max="6" width="39.36328125" style="37" bestFit="1" customWidth="1"/>
    <col min="7" max="7" width="16.54296875" style="37" bestFit="1" customWidth="1"/>
    <col min="8" max="8" width="36.6328125" style="37" bestFit="1" customWidth="1"/>
    <col min="9" max="9" width="4" style="37" customWidth="1"/>
  </cols>
  <sheetData>
    <row r="1" spans="1:8" ht="36" customHeight="1" thickBot="1">
      <c r="B1" s="102" t="s">
        <v>394</v>
      </c>
      <c r="C1" s="100"/>
      <c r="D1" s="100"/>
      <c r="E1" s="100"/>
      <c r="F1" s="100"/>
      <c r="G1" s="100"/>
      <c r="H1" s="100"/>
    </row>
    <row r="2" spans="1:8" ht="23" customHeight="1" thickBot="1">
      <c r="B2" s="31" t="s">
        <v>88</v>
      </c>
      <c r="C2" s="31" t="s">
        <v>21</v>
      </c>
      <c r="D2" s="31" t="s">
        <v>89</v>
      </c>
      <c r="E2" s="31" t="s">
        <v>90</v>
      </c>
      <c r="F2" s="31" t="s">
        <v>91</v>
      </c>
      <c r="G2" s="31" t="s">
        <v>92</v>
      </c>
      <c r="H2" s="31" t="s">
        <v>93</v>
      </c>
    </row>
    <row r="3" spans="1:8" ht="57.5">
      <c r="A3" s="5"/>
      <c r="B3" s="17">
        <v>1</v>
      </c>
      <c r="C3" s="18" t="s">
        <v>26</v>
      </c>
      <c r="D3" s="18" t="s">
        <v>395</v>
      </c>
      <c r="E3" s="18" t="s">
        <v>396</v>
      </c>
      <c r="F3" s="18" t="s">
        <v>397</v>
      </c>
      <c r="G3" s="46" t="s">
        <v>6</v>
      </c>
      <c r="H3" s="47" t="s">
        <v>398</v>
      </c>
    </row>
    <row r="4" spans="1:8" ht="57.5">
      <c r="A4" s="5"/>
      <c r="B4" s="17">
        <v>2</v>
      </c>
      <c r="C4" s="18" t="s">
        <v>26</v>
      </c>
      <c r="D4" s="18" t="s">
        <v>399</v>
      </c>
      <c r="E4" s="18" t="s">
        <v>400</v>
      </c>
      <c r="F4" s="18" t="s">
        <v>401</v>
      </c>
      <c r="G4" s="46" t="s">
        <v>6</v>
      </c>
      <c r="H4" s="47" t="s">
        <v>402</v>
      </c>
    </row>
    <row r="5" spans="1:8" ht="57.5">
      <c r="A5" s="5"/>
      <c r="B5" s="17">
        <v>3</v>
      </c>
      <c r="C5" s="18" t="s">
        <v>26</v>
      </c>
      <c r="D5" s="18" t="s">
        <v>403</v>
      </c>
      <c r="E5" s="18" t="s">
        <v>404</v>
      </c>
      <c r="F5" s="18" t="s">
        <v>405</v>
      </c>
      <c r="G5" s="46" t="s">
        <v>6</v>
      </c>
      <c r="H5" s="47" t="s">
        <v>406</v>
      </c>
    </row>
    <row r="6" spans="1:8" ht="46">
      <c r="B6" s="17">
        <v>4</v>
      </c>
      <c r="C6" s="18" t="s">
        <v>41</v>
      </c>
      <c r="D6" s="18" t="s">
        <v>407</v>
      </c>
      <c r="E6" s="18" t="s">
        <v>408</v>
      </c>
      <c r="F6" s="18" t="s">
        <v>409</v>
      </c>
      <c r="G6" s="46" t="s">
        <v>6</v>
      </c>
      <c r="H6" s="47" t="s">
        <v>410</v>
      </c>
    </row>
    <row r="7" spans="1:8" ht="69">
      <c r="B7" s="17">
        <v>5</v>
      </c>
      <c r="C7" s="18" t="s">
        <v>75</v>
      </c>
      <c r="D7" s="18" t="s">
        <v>411</v>
      </c>
      <c r="E7" s="18" t="s">
        <v>412</v>
      </c>
      <c r="F7" s="18" t="s">
        <v>413</v>
      </c>
      <c r="G7" s="48" t="s">
        <v>122</v>
      </c>
      <c r="H7" s="47" t="s">
        <v>414</v>
      </c>
    </row>
    <row r="8" spans="1:8" ht="80.5">
      <c r="B8" s="17">
        <v>6</v>
      </c>
      <c r="C8" s="18" t="s">
        <v>75</v>
      </c>
      <c r="D8" s="18" t="s">
        <v>411</v>
      </c>
      <c r="E8" s="18" t="s">
        <v>415</v>
      </c>
      <c r="F8" s="18" t="s">
        <v>416</v>
      </c>
      <c r="G8" s="48" t="s">
        <v>122</v>
      </c>
      <c r="H8" s="47" t="s">
        <v>417</v>
      </c>
    </row>
    <row r="9" spans="1:8" ht="69">
      <c r="B9" s="17">
        <v>7</v>
      </c>
      <c r="C9" s="18" t="s">
        <v>75</v>
      </c>
      <c r="D9" s="18" t="s">
        <v>411</v>
      </c>
      <c r="E9" s="18" t="s">
        <v>418</v>
      </c>
      <c r="F9" s="18" t="s">
        <v>419</v>
      </c>
      <c r="G9" s="49" t="s">
        <v>5</v>
      </c>
      <c r="H9" s="47" t="s">
        <v>420</v>
      </c>
    </row>
    <row r="10" spans="1:8" ht="69">
      <c r="B10" s="17">
        <v>8</v>
      </c>
      <c r="C10" s="18" t="s">
        <v>83</v>
      </c>
      <c r="D10" s="18" t="s">
        <v>411</v>
      </c>
      <c r="E10" s="18" t="s">
        <v>421</v>
      </c>
      <c r="F10" s="18" t="s">
        <v>422</v>
      </c>
      <c r="G10" s="46" t="s">
        <v>6</v>
      </c>
      <c r="H10" s="47" t="s">
        <v>423</v>
      </c>
    </row>
  </sheetData>
  <autoFilter ref="B2:H10" xr:uid="{00000000-0001-0000-0A00-000000000000}"/>
  <mergeCells count="1">
    <mergeCell ref="B1:H1"/>
  </mergeCells>
  <dataValidations count="1">
    <dataValidation type="list" allowBlank="1" sqref="C3:C10" xr:uid="{00000000-0002-0000-0A00-000000000000}">
      <formula1>" Critical, High, Medium, Low"</formula1>
    </dataValidation>
  </dataValidations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9"/>
  <sheetViews>
    <sheetView showGridLines="0" view="pageBreakPreview" zoomScale="85" zoomScaleNormal="115" zoomScaleSheetLayoutView="85" workbookViewId="0">
      <pane xSplit="1" ySplit="2" topLeftCell="B3" activePane="bottomRight" state="frozen"/>
      <selection activeCell="F13" sqref="F13"/>
      <selection pane="topRight" activeCell="F13" sqref="F13"/>
      <selection pane="bottomLeft" activeCell="F13" sqref="F13"/>
      <selection pane="bottomRight" activeCell="E9" sqref="E9"/>
    </sheetView>
  </sheetViews>
  <sheetFormatPr defaultRowHeight="14.5"/>
  <cols>
    <col min="1" max="1" width="4.1796875" style="37" customWidth="1"/>
    <col min="2" max="2" width="3.36328125" style="37" customWidth="1"/>
    <col min="3" max="3" width="7.1796875" style="37" bestFit="1" customWidth="1"/>
    <col min="4" max="4" width="8.6328125" style="37" bestFit="1" customWidth="1"/>
    <col min="5" max="5" width="37.453125" style="37" bestFit="1" customWidth="1"/>
    <col min="6" max="6" width="39.54296875" style="37" bestFit="1" customWidth="1"/>
    <col min="7" max="7" width="19.36328125" style="37" customWidth="1"/>
    <col min="8" max="8" width="46.453125" style="37" customWidth="1"/>
    <col min="9" max="9" width="4" style="37" customWidth="1"/>
  </cols>
  <sheetData>
    <row r="1" spans="1:8" ht="39" customHeight="1" thickBot="1">
      <c r="B1" s="101" t="s">
        <v>424</v>
      </c>
      <c r="C1" s="100"/>
      <c r="D1" s="100"/>
      <c r="E1" s="100"/>
      <c r="F1" s="100"/>
      <c r="G1" s="100"/>
      <c r="H1" s="100"/>
    </row>
    <row r="2" spans="1:8" ht="26.5" customHeight="1" thickBot="1">
      <c r="B2" s="4" t="s">
        <v>88</v>
      </c>
      <c r="C2" s="4" t="s">
        <v>21</v>
      </c>
      <c r="D2" s="4" t="s">
        <v>89</v>
      </c>
      <c r="E2" s="4" t="s">
        <v>90</v>
      </c>
      <c r="F2" s="4" t="s">
        <v>91</v>
      </c>
      <c r="G2" s="4" t="s">
        <v>92</v>
      </c>
      <c r="H2" s="4" t="s">
        <v>93</v>
      </c>
    </row>
    <row r="3" spans="1:8" ht="43" customHeight="1">
      <c r="A3" s="5"/>
      <c r="B3" s="17">
        <v>1</v>
      </c>
      <c r="C3" s="18" t="s">
        <v>26</v>
      </c>
      <c r="D3" s="18" t="s">
        <v>425</v>
      </c>
      <c r="E3" s="18" t="s">
        <v>426</v>
      </c>
      <c r="F3" s="18" t="s">
        <v>427</v>
      </c>
      <c r="G3" s="46" t="s">
        <v>6</v>
      </c>
      <c r="H3" s="47" t="s">
        <v>428</v>
      </c>
    </row>
    <row r="4" spans="1:8" ht="41" customHeight="1">
      <c r="A4" s="5"/>
      <c r="B4" s="17">
        <v>2</v>
      </c>
      <c r="C4" s="18" t="s">
        <v>26</v>
      </c>
      <c r="D4" s="18" t="s">
        <v>425</v>
      </c>
      <c r="E4" s="18" t="s">
        <v>429</v>
      </c>
      <c r="F4" s="18" t="s">
        <v>430</v>
      </c>
      <c r="G4" s="46" t="s">
        <v>6</v>
      </c>
      <c r="H4" s="47" t="s">
        <v>431</v>
      </c>
    </row>
    <row r="5" spans="1:8" ht="26" customHeight="1">
      <c r="B5" s="32">
        <v>3</v>
      </c>
      <c r="C5" s="19" t="s">
        <v>41</v>
      </c>
      <c r="D5" s="19" t="s">
        <v>425</v>
      </c>
      <c r="E5" s="19" t="s">
        <v>432</v>
      </c>
      <c r="F5" s="19" t="s">
        <v>433</v>
      </c>
      <c r="G5" s="46" t="s">
        <v>6</v>
      </c>
      <c r="H5" s="47" t="s">
        <v>434</v>
      </c>
    </row>
    <row r="6" spans="1:8" ht="29" customHeight="1">
      <c r="B6" s="32">
        <v>4</v>
      </c>
      <c r="C6" s="19" t="s">
        <v>41</v>
      </c>
      <c r="D6" s="19" t="s">
        <v>425</v>
      </c>
      <c r="E6" s="19" t="s">
        <v>435</v>
      </c>
      <c r="F6" s="19" t="s">
        <v>436</v>
      </c>
      <c r="G6" s="46" t="s">
        <v>6</v>
      </c>
      <c r="H6" s="47" t="s">
        <v>437</v>
      </c>
    </row>
    <row r="7" spans="1:8" ht="35" customHeight="1">
      <c r="B7" s="32">
        <v>5</v>
      </c>
      <c r="C7" s="19" t="s">
        <v>41</v>
      </c>
      <c r="D7" s="19" t="s">
        <v>425</v>
      </c>
      <c r="E7" s="19" t="s">
        <v>438</v>
      </c>
      <c r="F7" s="19" t="s">
        <v>439</v>
      </c>
      <c r="G7" s="46" t="s">
        <v>6</v>
      </c>
      <c r="H7" s="47" t="s">
        <v>440</v>
      </c>
    </row>
    <row r="8" spans="1:8" ht="27" customHeight="1">
      <c r="B8" s="32">
        <v>6</v>
      </c>
      <c r="C8" s="19" t="s">
        <v>75</v>
      </c>
      <c r="D8" s="19" t="s">
        <v>425</v>
      </c>
      <c r="E8" s="19" t="s">
        <v>441</v>
      </c>
      <c r="F8" s="19" t="s">
        <v>442</v>
      </c>
      <c r="G8" s="46" t="s">
        <v>6</v>
      </c>
      <c r="H8" s="47" t="s">
        <v>443</v>
      </c>
    </row>
    <row r="9" spans="1:8" ht="41" customHeight="1">
      <c r="B9" s="32">
        <v>7</v>
      </c>
      <c r="C9" s="19" t="s">
        <v>83</v>
      </c>
      <c r="D9" s="19" t="s">
        <v>425</v>
      </c>
      <c r="E9" s="19" t="s">
        <v>444</v>
      </c>
      <c r="F9" s="19" t="s">
        <v>445</v>
      </c>
      <c r="G9" s="46" t="s">
        <v>6</v>
      </c>
      <c r="H9" s="47" t="s">
        <v>446</v>
      </c>
    </row>
  </sheetData>
  <autoFilter ref="B2:H9" xr:uid="{00000000-0001-0000-0B00-000000000000}"/>
  <mergeCells count="1">
    <mergeCell ref="B1:H1"/>
  </mergeCells>
  <dataValidations count="1">
    <dataValidation type="list" allowBlank="1" sqref="C3:C9" xr:uid="{00000000-0002-0000-0B00-000000000000}">
      <formula1>" Critical, High, Medium, Low"</formula1>
    </dataValidation>
  </dataValidations>
  <pageMargins left="0.75" right="0.75" top="1" bottom="1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F11"/>
  <sheetViews>
    <sheetView workbookViewId="0">
      <selection activeCell="E13" sqref="E13"/>
    </sheetView>
  </sheetViews>
  <sheetFormatPr defaultRowHeight="14.5"/>
  <cols>
    <col min="1" max="1" width="4.81640625" style="37" customWidth="1"/>
    <col min="2" max="2" width="4.6328125" style="37" customWidth="1"/>
    <col min="3" max="3" width="21" style="37" customWidth="1"/>
    <col min="4" max="4" width="17" style="37" customWidth="1"/>
    <col min="5" max="5" width="14.81640625" style="37" customWidth="1"/>
    <col min="6" max="6" width="21.26953125" style="37" customWidth="1"/>
  </cols>
  <sheetData>
    <row r="2" spans="2:6">
      <c r="B2" s="14" t="s">
        <v>447</v>
      </c>
      <c r="C2" s="15" t="s">
        <v>448</v>
      </c>
      <c r="D2" s="15" t="s">
        <v>449</v>
      </c>
      <c r="E2" s="15" t="s">
        <v>450</v>
      </c>
      <c r="F2" s="16" t="s">
        <v>451</v>
      </c>
    </row>
    <row r="3" spans="2:6">
      <c r="B3" s="7">
        <v>1</v>
      </c>
      <c r="C3" s="8" t="s">
        <v>452</v>
      </c>
      <c r="D3" s="8" t="s">
        <v>453</v>
      </c>
      <c r="E3" s="8" t="s">
        <v>454</v>
      </c>
      <c r="F3" s="9" t="s">
        <v>455</v>
      </c>
    </row>
    <row r="4" spans="2:6" ht="22" customHeight="1">
      <c r="B4" s="7">
        <v>2</v>
      </c>
      <c r="C4" s="8" t="s">
        <v>456</v>
      </c>
      <c r="D4" s="8" t="s">
        <v>457</v>
      </c>
      <c r="E4" s="8" t="s">
        <v>458</v>
      </c>
      <c r="F4" s="9" t="s">
        <v>459</v>
      </c>
    </row>
    <row r="5" spans="2:6" ht="29.5" customHeight="1">
      <c r="B5" s="10">
        <v>3</v>
      </c>
      <c r="C5" s="11" t="s">
        <v>460</v>
      </c>
      <c r="D5" s="12" t="s">
        <v>461</v>
      </c>
      <c r="E5" s="11" t="s">
        <v>462</v>
      </c>
      <c r="F5" s="13" t="s">
        <v>463</v>
      </c>
    </row>
    <row r="8" spans="2:6">
      <c r="C8" s="51" t="s">
        <v>122</v>
      </c>
    </row>
    <row r="9" spans="2:6">
      <c r="C9" s="52" t="s">
        <v>5</v>
      </c>
    </row>
    <row r="10" spans="2:6">
      <c r="C10" s="53" t="s">
        <v>6</v>
      </c>
    </row>
    <row r="11" spans="2:6">
      <c r="C11" s="54" t="s">
        <v>464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Dashboard</vt:lpstr>
      <vt:lpstr>KeyIssues (Summary)</vt:lpstr>
      <vt:lpstr>User &amp; Authentication</vt:lpstr>
      <vt:lpstr>SSH Configuration</vt:lpstr>
      <vt:lpstr> Firewall &amp; Network</vt:lpstr>
      <vt:lpstr>System Updates &amp; Patches</vt:lpstr>
      <vt:lpstr>File System &amp; Permissions</vt:lpstr>
      <vt:lpstr>Logging &amp; Auditing</vt:lpstr>
      <vt:lpstr>Services &amp; Daemons</vt:lpstr>
      <vt:lpstr>Kernel Hardening</vt:lpstr>
      <vt:lpstr>Malware &amp; IDS</vt:lpstr>
      <vt:lpstr>Backup &amp; Recovery</vt:lpstr>
      <vt:lpstr>Legend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 Min Lwin</cp:lastModifiedBy>
  <dcterms:created xsi:type="dcterms:W3CDTF">2026-05-20T02:28:17Z</dcterms:created>
  <dcterms:modified xsi:type="dcterms:W3CDTF">2026-05-25T08:58:17Z</dcterms:modified>
</cp:coreProperties>
</file>